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505\office6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<sst xmlns="http://schemas.openxmlformats.org/spreadsheetml/2006/main" count="165" uniqueCount="30">
  <si>
    <t>数据</t>
  </si>
  <si>
    <t>开奖</t>
  </si>
  <si>
    <t>下注</t>
  </si>
  <si>
    <t>杀1肖</t>
  </si>
  <si>
    <t>生肖对应</t>
  </si>
  <si>
    <t>期数</t>
  </si>
  <si>
    <t>平1</t>
  </si>
  <si>
    <t>平2</t>
  </si>
  <si>
    <t>平3</t>
  </si>
  <si>
    <t>平4</t>
  </si>
  <si>
    <t>平5</t>
  </si>
  <si>
    <t>平6</t>
  </si>
  <si>
    <t>特码</t>
  </si>
  <si>
    <t>生肖</t>
  </si>
  <si>
    <t>尾/肖</t>
  </si>
  <si>
    <t>尾数</t>
  </si>
  <si>
    <t>合计</t>
  </si>
  <si>
    <t>数字</t>
  </si>
  <si>
    <t>鼠</t>
  </si>
  <si>
    <t>牛</t>
  </si>
  <si>
    <t>虎</t>
  </si>
  <si>
    <t>兔</t>
  </si>
  <si>
    <t>龙</t>
  </si>
  <si>
    <t>蛇</t>
  </si>
  <si>
    <t>马</t>
  </si>
  <si>
    <t>羊</t>
  </si>
  <si>
    <t>猴</t>
  </si>
  <si>
    <t>鸡</t>
  </si>
  <si>
    <t>狗</t>
  </si>
  <si>
    <t>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</si>
</sst>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6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0" fillId="0" borderId="5" xfId="0" applyFill="1" applyBorder="1" applyAlignment="1"/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Fill="1" applyBorder="1" applyAlignment="1"/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98"/>
  <sheetViews>
    <sheetView tabSelected="1" workbookViewId="0">
      <pane ySplit="2" topLeftCell="A3" activePane="bottomLeft" state="frozen"/>
      <selection/>
      <selection pane="bottomLeft" activeCell="T23" sqref="T23"/>
    </sheetView>
  </sheetViews>
  <sheetFormatPr defaultColWidth="9" defaultRowHeight="14.25"/>
  <cols>
    <col min="1" max="1" width="12.625" style="2" customWidth="1"/>
    <col min="2" max="7" width="7" style="2" customWidth="1"/>
    <col min="8" max="8" width="7" style="3" customWidth="1"/>
    <col min="9" max="9" width="7.875" style="2" customWidth="1"/>
    <col min="10" max="10" width="7.25" style="4" customWidth="1"/>
    <col min="11" max="11" width="7.25" style="5" customWidth="1"/>
    <col min="12" max="12" width="9" style="1" customWidth="1"/>
    <col min="13" max="13" width="7.375" style="6" hidden="1" customWidth="1"/>
    <col min="14" max="14" width="7.375" style="2" hidden="1" customWidth="1"/>
    <col min="15" max="15" width="7.375" style="7" customWidth="1"/>
    <col min="16" max="16" width="7.375" style="8" customWidth="1"/>
    <col min="17" max="17" width="7.375" style="9" customWidth="1"/>
    <col min="18" max="18" width="7.375" style="10" customWidth="1"/>
    <col min="19" max="21" width="9" style="11" customWidth="1"/>
    <col min="22" max="22" width="9" style="1" customWidth="1"/>
    <col min="23" max="23" width="9" style="11" customWidth="1"/>
    <col min="24" max="25" width="9" style="2" customWidth="1"/>
    <col min="26" max="16383" width="9" style="1" customWidth="1"/>
    <col min="16384" max="16384" width="9" style="1"/>
  </cols>
  <sheetData>
    <row r="1" s="1" customFormat="1" ht="20.25" customHeight="1" spans="1:25">
      <c r="A1" s="12" t="s">
        <v>0</v>
      </c>
      <c r="B1" s="12"/>
      <c r="C1" s="12"/>
      <c r="D1" s="12"/>
      <c r="E1" s="12"/>
      <c r="F1" s="12"/>
      <c r="G1" s="12"/>
      <c r="H1" s="13"/>
      <c r="I1" s="12"/>
      <c r="J1" s="12" t="s">
        <v>1</v>
      </c>
      <c r="K1" s="14"/>
      <c r="M1" s="6" t="s">
        <v>2</v>
      </c>
      <c r="N1" s="15"/>
      <c r="O1" s="16" t="str">
        <f t="array" ref="O1">INDEX(O3:O1000,MATCH(TRUE,O3:O1000&lt;&gt;"",0))</f>
        <v>2</v>
      </c>
      <c r="P1" s="17" t="str">
        <f t="array" ref="P1">INDEX(P3:P1000,MATCH(TRUE,P3:P1000&lt;&gt;"",0))</f>
        <v>牛</v>
      </c>
      <c r="Q1" s="18" t="s">
        <v>3</v>
      </c>
      <c r="R1" s="19"/>
      <c r="X1" s="2" t="s">
        <v>4</v>
      </c>
      <c r="Y1" s="20"/>
    </row>
    <row r="2" s="1" customFormat="1" ht="18" customHeight="1" spans="1: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3" t="s">
        <v>12</v>
      </c>
      <c r="I2" s="2" t="s">
        <v>13</v>
      </c>
      <c r="J2" s="7" t="s">
        <v>14</v>
      </c>
      <c r="K2" s="5" t="s">
        <v>3</v>
      </c>
      <c r="M2" s="6" t="s">
        <v>15</v>
      </c>
      <c r="N2" s="2" t="s">
        <v>13</v>
      </c>
      <c r="O2" s="7" t="str">
        <f>IF(M2="","",IF(COUNTIF(M3:$M$1000,M2)&gt;0,"",M2))</f>
        <v>尾数</v>
      </c>
      <c r="P2" s="8" t="str">
        <f>IF(N2="","",IF(COUNTIF(N3:$N$1000,N2)&gt;0,"",N2))</f>
        <v>生肖</v>
      </c>
      <c r="Q2" s="21" t="s">
        <v>16</v>
      </c>
      <c r="R2" s="22" t="s">
        <v>13</v>
      </c>
      <c r="X2" s="2" t="s">
        <v>17</v>
      </c>
      <c r="Y2" s="2" t="s">
        <v>13</v>
      </c>
    </row>
    <row r="3" s="1" customFormat="1" spans="1:25">
      <c r="A3" s="2">
        <v>115056638</v>
      </c>
      <c r="B3" s="2">
        <v>16</v>
      </c>
      <c r="C3" s="2">
        <v>9</v>
      </c>
      <c r="D3" s="2">
        <v>28</v>
      </c>
      <c r="E3" s="2">
        <v>15</v>
      </c>
      <c r="F3" s="2">
        <v>7</v>
      </c>
      <c r="G3" s="2">
        <v>1</v>
      </c>
      <c r="H3" s="3">
        <v>46</v>
      </c>
      <c r="I3" s="2" t="str">
        <f t="shared" ref="I3:I66" si="0">VLOOKUP(H3,X:Y,2,0)</f>
        <v>鸡</v>
      </c>
      <c r="J3" s="4">
        <f>IF(H3="","",1)</f>
        <v>1</v>
      </c>
      <c r="K3" s="5">
        <f>IF(H3="","",1)</f>
        <v>1</v>
      </c>
      <c r="M3" s="6" t="str">
        <f t="shared" ref="M3:M66" si="1">RIGHT(H3,1)</f>
        <v>6</v>
      </c>
      <c r="N3" s="2" t="str">
        <f t="shared" ref="N3:N66" si="2">I3</f>
        <v>鸡</v>
      </c>
      <c r="O3" s="7" t="str">
        <f>IF(M3="","",IF(COUNTIF(M4:$M$1000,M3)&gt;0,"",M3))</f>
        <v/>
      </c>
      <c r="P3" s="8" t="str">
        <f>IF(N3="","",IF(COUNTIF(N4:$N$1000,N3)&gt;0,"",N3))</f>
        <v/>
      </c>
      <c r="Q3" s="21">
        <f t="shared" ref="Q3:Q66" si="3">MOD(INT(SMALL(B3:G3,5)/10)+MOD(SMALL(B3:G3,5),10),10)+INT(SMALL(B3:G3,4)/10)+INT(SMALL(B3:G3,6)/10)+MOD(SMALL(B3:G3,6),10)+SMALL(B3:G3,4)+SMALL(B3:G3,6)+9</f>
        <v>70</v>
      </c>
      <c r="R3" s="22" t="str">
        <f t="shared" ref="R3:R66" si="4">VLOOKUP(Q3,X:Y,2,0)</f>
        <v>鸡</v>
      </c>
      <c r="U3" s="1" t="s">
        <v>18</v>
      </c>
      <c r="V3" s="1" t="str">
        <f t="shared" ref="V3:V14" si="5">VLOOKUP(U3,P:Q,1,0)</f>
        <v>鼠</v>
      </c>
      <c r="X3" s="2">
        <v>7</v>
      </c>
      <c r="Y3" s="2" t="s">
        <v>18</v>
      </c>
    </row>
    <row r="4" s="1" customFormat="1" spans="1:25">
      <c r="A4" s="2">
        <v>115056639</v>
      </c>
      <c r="B4" s="2">
        <v>47</v>
      </c>
      <c r="C4" s="2">
        <v>49</v>
      </c>
      <c r="D4" s="2">
        <v>23</v>
      </c>
      <c r="E4" s="2">
        <v>32</v>
      </c>
      <c r="F4" s="2">
        <v>9</v>
      </c>
      <c r="G4" s="2">
        <v>1</v>
      </c>
      <c r="H4" s="3">
        <v>36</v>
      </c>
      <c r="I4" s="2" t="str">
        <f t="shared" si="0"/>
        <v>羊</v>
      </c>
      <c r="J4" s="4">
        <f>IF(H4="","",IF(OR(AND(M4&lt;&gt;"",M4=IFERROR(INDEX($M$3:M3,MIN(IF(COUNTIF($M$3:M3,"0")=0,10^9,LOOKUP(2,1/($M$3:M3="0"),ROW($M$3:M3))),IF(COUNTIF($M$3:M3,"1")=0,10^9,LOOKUP(2,1/($M$3:M3="1"),ROW($M$3:M3))),IF(COUNTIF($M$3:M3,"2")=0,10^9,LOOKUP(2,1/($M$3:M3="2"),ROW($M$3:M3))),IF(COUNTIF($M$3:M3,"3")=0,10^9,LOOKUP(2,1/($M$3:M3="3"),ROW($M$3:M3))),IF(COUNTIF($M$3:M3,"4")=0,10^9,LOOKUP(2,1/($M$3:M3="4"),ROW($M$3:M3))),IF(COUNTIF($M$3:M3,"5")=0,10^9,LOOKUP(2,1/($M$3:M3="5"),ROW($M$3:M3))),IF(COUNTIF($M$3:M3,"6")=0,10^9,LOOKUP(2,1/($M$3:M3="6"),ROW($M$3:M3))),IF(COUNTIF($M$3:M3,"7")=0,10^9,LOOKUP(2,1/($M$3:M3="7"),ROW($M$3:M3))),IF(COUNTIF($M$3:M3,"8")=0,10^9,LOOKUP(2,1/($M$3:M3="8"),ROW($M$3:M3))),IF(COUNTIF($M$3:M3,"9")=0,10^9,LOOKUP(2,1/($M$3:M3="9"),ROW($M$3:M3))))-ROW($M$3)+1),"")),AND(N4&lt;&gt;"",N4=IFERROR(INDEX($N$3:N3,MIN(IF(COUNTIF($N$3:N3,"鼠")=0,10^9,LOOKUP(2,1/($N$3:N3="鼠"),ROW($N$3:N3))),IF(COUNTIF($N$3:N3,"牛")=0,10^9,LOOKUP(2,1/($N$3:N3="牛"),ROW($N$3:N3))),IF(COUNTIF($N$3:N3,"虎")=0,10^9,LOOKUP(2,1/($N$3:N3="虎"),ROW($N$3:N3))),IF(COUNTIF($N$3:N3,"兔")=0,10^9,LOOKUP(2,1/($N$3:N3="兔"),ROW($N$3:N3))),IF(COUNTIF($N$3:N3,"龙")=0,10^9,LOOKUP(2,1/($N$3:N3="龙"),ROW($N$3:N3))),IF(COUNTIF($N$3:N3,"蛇")=0,10^9,LOOKUP(2,1/($N$3:N3="蛇"),ROW($N$3:N3))),IF(COUNTIF($N$3:N3,"马")=0,10^9,LOOKUP(2,1/($N$3:N3="马"),ROW($N$3:N3))),IF(COUNTIF($N$3:N3,"羊")=0,10^9,LOOKUP(2,1/($N$3:N3="羊"),ROW($N$3:N3))),IF(COUNTIF($N$3:N3,"猴")=0,10^9,LOOKUP(2,1/($N$3:N3="猴"),ROW($N$3:N3))),IF(COUNTIF($N$3:N3,"鸡")=0,10^9,LOOKUP(2,1/($N$3:N3="鸡"),ROW($N$3:N3))),IF(COUNTIF($N$3:N3,"狗")=0,10^9,LOOKUP(2,1/($N$3:N3="狗"),ROW($N$3:N3))),IF(COUNTIF($N$3:N3,"猪")=0,10^9,LOOKUP(2,1/($N$3:N3="猪"),ROW($N$3:N3))))-ROW($N$3)+1),""))),0,IF(ISNUMBER(J3),J3+1,1)))</f>
        <v>0</v>
      </c>
      <c r="K4" s="5">
        <f t="shared" ref="K4:K67" si="6">IF(I4=R3,0,K3+1)</f>
        <v>2</v>
      </c>
      <c r="M4" s="6" t="str">
        <f t="shared" si="1"/>
        <v>6</v>
      </c>
      <c r="N4" s="2" t="str">
        <f t="shared" si="2"/>
        <v>羊</v>
      </c>
      <c r="O4" s="7" t="str">
        <f>IF(M4="","",IF(COUNTIF(M5:$M$1000,M4)&gt;0,"",M4))</f>
        <v/>
      </c>
      <c r="P4" s="8" t="str">
        <f>IF(N4="","",IF(COUNTIF(N5:$N$1000,N4)&gt;0,"",N4))</f>
        <v/>
      </c>
      <c r="Q4" s="21">
        <f t="shared" si="3"/>
        <v>107</v>
      </c>
      <c r="R4" s="22" t="str">
        <f t="shared" si="4"/>
        <v>猴</v>
      </c>
      <c r="U4" s="1" t="s">
        <v>19</v>
      </c>
      <c r="V4" s="1" t="str">
        <f t="shared" si="5"/>
        <v>牛</v>
      </c>
      <c r="X4" s="2">
        <v>19</v>
      </c>
      <c r="Y4" s="2" t="s">
        <v>18</v>
      </c>
    </row>
    <row r="5" s="1" customFormat="1" spans="1:25">
      <c r="A5" s="2">
        <v>115056640</v>
      </c>
      <c r="B5" s="2">
        <v>4</v>
      </c>
      <c r="C5" s="2">
        <v>21</v>
      </c>
      <c r="D5" s="2">
        <v>36</v>
      </c>
      <c r="E5" s="2">
        <v>37</v>
      </c>
      <c r="F5" s="2">
        <v>32</v>
      </c>
      <c r="G5" s="2">
        <v>47</v>
      </c>
      <c r="H5" s="3">
        <v>33</v>
      </c>
      <c r="I5" s="2" t="str">
        <f t="shared" si="0"/>
        <v>狗</v>
      </c>
      <c r="J5" s="4">
        <f>IF(H5="","",IF(OR(AND(M5&lt;&gt;"",M5=IFERROR(INDEX($M$3:M4,MIN(IF(COUNTIF($M$3:M4,"0")=0,10^9,LOOKUP(2,1/($M$3:M4="0"),ROW($M$3:M4))),IF(COUNTIF($M$3:M4,"1")=0,10^9,LOOKUP(2,1/($M$3:M4="1"),ROW($M$3:M4))),IF(COUNTIF($M$3:M4,"2")=0,10^9,LOOKUP(2,1/($M$3:M4="2"),ROW($M$3:M4))),IF(COUNTIF($M$3:M4,"3")=0,10^9,LOOKUP(2,1/($M$3:M4="3"),ROW($M$3:M4))),IF(COUNTIF($M$3:M4,"4")=0,10^9,LOOKUP(2,1/($M$3:M4="4"),ROW($M$3:M4))),IF(COUNTIF($M$3:M4,"5")=0,10^9,LOOKUP(2,1/($M$3:M4="5"),ROW($M$3:M4))),IF(COUNTIF($M$3:M4,"6")=0,10^9,LOOKUP(2,1/($M$3:M4="6"),ROW($M$3:M4))),IF(COUNTIF($M$3:M4,"7")=0,10^9,LOOKUP(2,1/($M$3:M4="7"),ROW($M$3:M4))),IF(COUNTIF($M$3:M4,"8")=0,10^9,LOOKUP(2,1/($M$3:M4="8"),ROW($M$3:M4))),IF(COUNTIF($M$3:M4,"9")=0,10^9,LOOKUP(2,1/($M$3:M4="9"),ROW($M$3:M4))))-ROW($M$3)+1),"")),AND(N5&lt;&gt;"",N5=IFERROR(INDEX($N$3:N4,MIN(IF(COUNTIF($N$3:N4,"鼠")=0,10^9,LOOKUP(2,1/($N$3:N4="鼠"),ROW($N$3:N4))),IF(COUNTIF($N$3:N4,"牛")=0,10^9,LOOKUP(2,1/($N$3:N4="牛"),ROW($N$3:N4))),IF(COUNTIF($N$3:N4,"虎")=0,10^9,LOOKUP(2,1/($N$3:N4="虎"),ROW($N$3:N4))),IF(COUNTIF($N$3:N4,"兔")=0,10^9,LOOKUP(2,1/($N$3:N4="兔"),ROW($N$3:N4))),IF(COUNTIF($N$3:N4,"龙")=0,10^9,LOOKUP(2,1/($N$3:N4="龙"),ROW($N$3:N4))),IF(COUNTIF($N$3:N4,"蛇")=0,10^9,LOOKUP(2,1/($N$3:N4="蛇"),ROW($N$3:N4))),IF(COUNTIF($N$3:N4,"马")=0,10^9,LOOKUP(2,1/($N$3:N4="马"),ROW($N$3:N4))),IF(COUNTIF($N$3:N4,"羊")=0,10^9,LOOKUP(2,1/($N$3:N4="羊"),ROW($N$3:N4))),IF(COUNTIF($N$3:N4,"猴")=0,10^9,LOOKUP(2,1/($N$3:N4="猴"),ROW($N$3:N4))),IF(COUNTIF($N$3:N4,"鸡")=0,10^9,LOOKUP(2,1/($N$3:N4="鸡"),ROW($N$3:N4))),IF(COUNTIF($N$3:N4,"狗")=0,10^9,LOOKUP(2,1/($N$3:N4="狗"),ROW($N$3:N4))),IF(COUNTIF($N$3:N4,"猪")=0,10^9,LOOKUP(2,1/($N$3:N4="猪"),ROW($N$3:N4))))-ROW($N$3)+1),""))),0,IF(ISNUMBER(J4),J4+1,1)))</f>
        <v>1</v>
      </c>
      <c r="K5" s="5">
        <f t="shared" si="6"/>
        <v>3</v>
      </c>
      <c r="M5" s="6" t="str">
        <f t="shared" si="1"/>
        <v>3</v>
      </c>
      <c r="N5" s="2" t="str">
        <f t="shared" si="2"/>
        <v>狗</v>
      </c>
      <c r="O5" s="7" t="str">
        <f>IF(M5="","",IF(COUNTIF(M6:$M$1000,M5)&gt;0,"",M5))</f>
        <v/>
      </c>
      <c r="P5" s="8" t="str">
        <f>IF(N5="","",IF(COUNTIF(N6:$N$1000,N5)&gt;0,"",N5))</f>
        <v/>
      </c>
      <c r="Q5" s="21">
        <f t="shared" si="3"/>
        <v>106</v>
      </c>
      <c r="R5" s="22" t="str">
        <f t="shared" si="4"/>
        <v>鸡</v>
      </c>
      <c r="U5" s="1" t="s">
        <v>20</v>
      </c>
      <c r="V5" s="1" t="str">
        <f t="shared" si="5"/>
        <v>虎</v>
      </c>
      <c r="X5" s="2">
        <v>31</v>
      </c>
      <c r="Y5" s="2" t="s">
        <v>18</v>
      </c>
    </row>
    <row r="6" s="1" customFormat="1" spans="1:25">
      <c r="A6" s="2">
        <v>115056641</v>
      </c>
      <c r="B6" s="2">
        <v>42</v>
      </c>
      <c r="C6" s="2">
        <v>13</v>
      </c>
      <c r="D6" s="2">
        <v>31</v>
      </c>
      <c r="E6" s="2">
        <v>5</v>
      </c>
      <c r="F6" s="2">
        <v>27</v>
      </c>
      <c r="G6" s="2">
        <v>33</v>
      </c>
      <c r="H6" s="3">
        <v>30</v>
      </c>
      <c r="I6" s="2" t="str">
        <f t="shared" si="0"/>
        <v>牛</v>
      </c>
      <c r="J6" s="4">
        <f>IF(H6="","",IF(OR(AND(M6&lt;&gt;"",M6=IFERROR(INDEX($M$3:M5,MIN(IF(COUNTIF($M$3:M5,"0")=0,10^9,LOOKUP(2,1/($M$3:M5="0"),ROW($M$3:M5))),IF(COUNTIF($M$3:M5,"1")=0,10^9,LOOKUP(2,1/($M$3:M5="1"),ROW($M$3:M5))),IF(COUNTIF($M$3:M5,"2")=0,10^9,LOOKUP(2,1/($M$3:M5="2"),ROW($M$3:M5))),IF(COUNTIF($M$3:M5,"3")=0,10^9,LOOKUP(2,1/($M$3:M5="3"),ROW($M$3:M5))),IF(COUNTIF($M$3:M5,"4")=0,10^9,LOOKUP(2,1/($M$3:M5="4"),ROW($M$3:M5))),IF(COUNTIF($M$3:M5,"5")=0,10^9,LOOKUP(2,1/($M$3:M5="5"),ROW($M$3:M5))),IF(COUNTIF($M$3:M5,"6")=0,10^9,LOOKUP(2,1/($M$3:M5="6"),ROW($M$3:M5))),IF(COUNTIF($M$3:M5,"7")=0,10^9,LOOKUP(2,1/($M$3:M5="7"),ROW($M$3:M5))),IF(COUNTIF($M$3:M5,"8")=0,10^9,LOOKUP(2,1/($M$3:M5="8"),ROW($M$3:M5))),IF(COUNTIF($M$3:M5,"9")=0,10^9,LOOKUP(2,1/($M$3:M5="9"),ROW($M$3:M5))))-ROW($M$3)+1),"")),AND(N6&lt;&gt;"",N6=IFERROR(INDEX($N$3:N5,MIN(IF(COUNTIF($N$3:N5,"鼠")=0,10^9,LOOKUP(2,1/($N$3:N5="鼠"),ROW($N$3:N5))),IF(COUNTIF($N$3:N5,"牛")=0,10^9,LOOKUP(2,1/($N$3:N5="牛"),ROW($N$3:N5))),IF(COUNTIF($N$3:N5,"虎")=0,10^9,LOOKUP(2,1/($N$3:N5="虎"),ROW($N$3:N5))),IF(COUNTIF($N$3:N5,"兔")=0,10^9,LOOKUP(2,1/($N$3:N5="兔"),ROW($N$3:N5))),IF(COUNTIF($N$3:N5,"龙")=0,10^9,LOOKUP(2,1/($N$3:N5="龙"),ROW($N$3:N5))),IF(COUNTIF($N$3:N5,"蛇")=0,10^9,LOOKUP(2,1/($N$3:N5="蛇"),ROW($N$3:N5))),IF(COUNTIF($N$3:N5,"马")=0,10^9,LOOKUP(2,1/($N$3:N5="马"),ROW($N$3:N5))),IF(COUNTIF($N$3:N5,"羊")=0,10^9,LOOKUP(2,1/($N$3:N5="羊"),ROW($N$3:N5))),IF(COUNTIF($N$3:N5,"猴")=0,10^9,LOOKUP(2,1/($N$3:N5="猴"),ROW($N$3:N5))),IF(COUNTIF($N$3:N5,"鸡")=0,10^9,LOOKUP(2,1/($N$3:N5="鸡"),ROW($N$3:N5))),IF(COUNTIF($N$3:N5,"狗")=0,10^9,LOOKUP(2,1/($N$3:N5="狗"),ROW($N$3:N5))),IF(COUNTIF($N$3:N5,"猪")=0,10^9,LOOKUP(2,1/($N$3:N5="猪"),ROW($N$3:N5))))-ROW($N$3)+1),""))),0,IF(ISNUMBER(J5),J5+1,1)))</f>
        <v>2</v>
      </c>
      <c r="K6" s="5">
        <f t="shared" si="6"/>
        <v>4</v>
      </c>
      <c r="M6" s="6" t="str">
        <f t="shared" si="1"/>
        <v>0</v>
      </c>
      <c r="N6" s="2" t="str">
        <f t="shared" si="2"/>
        <v>牛</v>
      </c>
      <c r="O6" s="7" t="str">
        <f>IF(M6="","",IF(COUNTIF(M7:$M$1000,M6)&gt;0,"",M6))</f>
        <v/>
      </c>
      <c r="P6" s="8" t="str">
        <f>IF(N6="","",IF(COUNTIF(N7:$N$1000,N6)&gt;0,"",N6))</f>
        <v/>
      </c>
      <c r="Q6" s="21">
        <f t="shared" si="3"/>
        <v>97</v>
      </c>
      <c r="R6" s="22" t="str">
        <f t="shared" si="4"/>
        <v>马</v>
      </c>
      <c r="U6" s="1" t="s">
        <v>21</v>
      </c>
      <c r="V6" s="1" t="str">
        <f t="shared" si="5"/>
        <v>兔</v>
      </c>
      <c r="X6" s="2">
        <v>43</v>
      </c>
      <c r="Y6" s="2" t="s">
        <v>18</v>
      </c>
    </row>
    <row r="7" s="1" customFormat="1" spans="1:25">
      <c r="A7" s="2">
        <v>115056642</v>
      </c>
      <c r="B7" s="2">
        <v>20</v>
      </c>
      <c r="C7" s="2">
        <v>1</v>
      </c>
      <c r="D7" s="2">
        <v>27</v>
      </c>
      <c r="E7" s="2">
        <v>44</v>
      </c>
      <c r="F7" s="2">
        <v>39</v>
      </c>
      <c r="G7" s="2">
        <v>7</v>
      </c>
      <c r="H7" s="3">
        <v>33</v>
      </c>
      <c r="I7" s="2" t="str">
        <f t="shared" si="0"/>
        <v>狗</v>
      </c>
      <c r="J7" s="4">
        <f>IF(H7="","",IF(OR(AND(M7&lt;&gt;"",M7=IFERROR(INDEX($M$3:M6,MIN(IF(COUNTIF($M$3:M6,"0")=0,10^9,LOOKUP(2,1/($M$3:M6="0"),ROW($M$3:M6))),IF(COUNTIF($M$3:M6,"1")=0,10^9,LOOKUP(2,1/($M$3:M6="1"),ROW($M$3:M6))),IF(COUNTIF($M$3:M6,"2")=0,10^9,LOOKUP(2,1/($M$3:M6="2"),ROW($M$3:M6))),IF(COUNTIF($M$3:M6,"3")=0,10^9,LOOKUP(2,1/($M$3:M6="3"),ROW($M$3:M6))),IF(COUNTIF($M$3:M6,"4")=0,10^9,LOOKUP(2,1/($M$3:M6="4"),ROW($M$3:M6))),IF(COUNTIF($M$3:M6,"5")=0,10^9,LOOKUP(2,1/($M$3:M6="5"),ROW($M$3:M6))),IF(COUNTIF($M$3:M6,"6")=0,10^9,LOOKUP(2,1/($M$3:M6="6"),ROW($M$3:M6))),IF(COUNTIF($M$3:M6,"7")=0,10^9,LOOKUP(2,1/($M$3:M6="7"),ROW($M$3:M6))),IF(COUNTIF($M$3:M6,"8")=0,10^9,LOOKUP(2,1/($M$3:M6="8"),ROW($M$3:M6))),IF(COUNTIF($M$3:M6,"9")=0,10^9,LOOKUP(2,1/($M$3:M6="9"),ROW($M$3:M6))))-ROW($M$3)+1),"")),AND(N7&lt;&gt;"",N7=IFERROR(INDEX($N$3:N6,MIN(IF(COUNTIF($N$3:N6,"鼠")=0,10^9,LOOKUP(2,1/($N$3:N6="鼠"),ROW($N$3:N6))),IF(COUNTIF($N$3:N6,"牛")=0,10^9,LOOKUP(2,1/($N$3:N6="牛"),ROW($N$3:N6))),IF(COUNTIF($N$3:N6,"虎")=0,10^9,LOOKUP(2,1/($N$3:N6="虎"),ROW($N$3:N6))),IF(COUNTIF($N$3:N6,"兔")=0,10^9,LOOKUP(2,1/($N$3:N6="兔"),ROW($N$3:N6))),IF(COUNTIF($N$3:N6,"龙")=0,10^9,LOOKUP(2,1/($N$3:N6="龙"),ROW($N$3:N6))),IF(COUNTIF($N$3:N6,"蛇")=0,10^9,LOOKUP(2,1/($N$3:N6="蛇"),ROW($N$3:N6))),IF(COUNTIF($N$3:N6,"马")=0,10^9,LOOKUP(2,1/($N$3:N6="马"),ROW($N$3:N6))),IF(COUNTIF($N$3:N6,"羊")=0,10^9,LOOKUP(2,1/($N$3:N6="羊"),ROW($N$3:N6))),IF(COUNTIF($N$3:N6,"猴")=0,10^9,LOOKUP(2,1/($N$3:N6="猴"),ROW($N$3:N6))),IF(COUNTIF($N$3:N6,"鸡")=0,10^9,LOOKUP(2,1/($N$3:N6="鸡"),ROW($N$3:N6))),IF(COUNTIF($N$3:N6,"狗")=0,10^9,LOOKUP(2,1/($N$3:N6="狗"),ROW($N$3:N6))),IF(COUNTIF($N$3:N6,"猪")=0,10^9,LOOKUP(2,1/($N$3:N6="猪"),ROW($N$3:N6))))-ROW($N$3)+1),""))),0,IF(ISNUMBER(J6),J6+1,1)))</f>
        <v>3</v>
      </c>
      <c r="K7" s="5">
        <f t="shared" si="6"/>
        <v>5</v>
      </c>
      <c r="M7" s="6" t="str">
        <f t="shared" si="1"/>
        <v>3</v>
      </c>
      <c r="N7" s="2" t="str">
        <f t="shared" si="2"/>
        <v>狗</v>
      </c>
      <c r="O7" s="7" t="str">
        <f>IF(M7="","",IF(COUNTIF(M8:$M$1000,M7)&gt;0,"",M7))</f>
        <v/>
      </c>
      <c r="P7" s="8" t="str">
        <f>IF(N7="","",IF(COUNTIF(N8:$N$1000,N7)&gt;0,"",N7))</f>
        <v/>
      </c>
      <c r="Q7" s="21">
        <f t="shared" si="3"/>
        <v>92</v>
      </c>
      <c r="R7" s="22" t="str">
        <f t="shared" si="4"/>
        <v>猪</v>
      </c>
      <c r="U7" s="1" t="s">
        <v>22</v>
      </c>
      <c r="V7" s="1" t="str">
        <f t="shared" si="5"/>
        <v>龙</v>
      </c>
      <c r="X7" s="2">
        <v>6</v>
      </c>
      <c r="Y7" s="2" t="s">
        <v>19</v>
      </c>
    </row>
    <row r="8" s="1" customFormat="1" spans="1:25">
      <c r="A8" s="2">
        <v>115056643</v>
      </c>
      <c r="B8" s="2">
        <v>3</v>
      </c>
      <c r="C8" s="2">
        <v>39</v>
      </c>
      <c r="D8" s="2">
        <v>21</v>
      </c>
      <c r="E8" s="2">
        <v>2</v>
      </c>
      <c r="F8" s="2">
        <v>8</v>
      </c>
      <c r="G8" s="2">
        <v>38</v>
      </c>
      <c r="H8" s="3">
        <v>48</v>
      </c>
      <c r="I8" s="2" t="str">
        <f t="shared" si="0"/>
        <v>羊</v>
      </c>
      <c r="J8" s="4" cm="1">
        <f t="array" ref="J8">IF(H8="","",IF(OR(AND(M8&lt;&gt;"",M8=IFERROR(_xlfn.SINGLE(INDEX($M$3:M7,MIN(IF(COUNTIF($M$3:M7,"0")=0,10^9,LOOKUP(2,1/($M$3:M7="0"),ROW($M$3:M7))),IF(COUNTIF($M$3:M7,"1")=0,10^9,LOOKUP(2,1/($M$3:M7="1"),ROW($M$3:M7))),IF(COUNTIF($M$3:M7,"2")=0,10^9,LOOKUP(2,1/($M$3:M7="2"),ROW($M$3:M7))),IF(COUNTIF($M$3:M7,"3")=0,10^9,LOOKUP(2,1/($M$3:M7="3"),ROW($M$3:M7))),IF(COUNTIF($M$3:M7,"4")=0,10^9,LOOKUP(2,1/($M$3:M7="4"),ROW($M$3:M7))),IF(COUNTIF($M$3:M7,"5")=0,10^9,LOOKUP(2,1/($M$3:M7="5"),ROW($M$3:M7))),IF(COUNTIF($M$3:M7,"6")=0,10^9,LOOKUP(2,1/($M$3:M7="6"),ROW($M$3:M7))),IF(COUNTIF($M$3:M7,"7")=0,10^9,LOOKUP(2,1/($M$3:M7="7"),ROW($M$3:M7))),IF(COUNTIF($M$3:M7,"8")=0,10^9,LOOKUP(2,1/($M$3:M7="8"),ROW($M$3:M7))),IF(COUNTIF($M$3:M7,"9")=0,10^9,LOOKUP(2,1/($M$3:M7="9"),ROW($M$3:M7))))-ROW($M$3)+1)),"")),AND(N8&lt;&gt;"",N8=IFERROR(_xlfn.SINGLE(INDEX($N$3:N7,MIN(IF(COUNTIF($N$3:N7,"鼠")=0,10^9,LOOKUP(2,1/($N$3:N7="鼠"),ROW($N$3:N7))),IF(COUNTIF($N$3:N7,"牛")=0,10^9,LOOKUP(2,1/($N$3:N7="牛"),ROW($N$3:N7))),IF(COUNTIF($N$3:N7,"虎")=0,10^9,LOOKUP(2,1/($N$3:N7="虎"),ROW($N$3:N7))),IF(COUNTIF($N$3:N7,"兔")=0,10^9,LOOKUP(2,1/($N$3:N7="兔"),ROW($N$3:N7))),IF(COUNTIF($N$3:N7,"龙")=0,10^9,LOOKUP(2,1/($N$3:N7="龙"),ROW($N$3:N7))),IF(COUNTIF($N$3:N7,"蛇")=0,10^9,LOOKUP(2,1/($N$3:N7="蛇"),ROW($N$3:N7))),IF(COUNTIF($N$3:N7,"马")=0,10^9,LOOKUP(2,1/($N$3:N7="马"),ROW($N$3:N7))),IF(COUNTIF($N$3:N7,"羊")=0,10^9,LOOKUP(2,1/($N$3:N7="羊"),ROW($N$3:N7))),IF(COUNTIF($N$3:N7,"猴")=0,10^9,LOOKUP(2,1/($N$3:N7="猴"),ROW($N$3:N7))),IF(COUNTIF($N$3:N7,"鸡")=0,10^9,LOOKUP(2,1/($N$3:N7="鸡"),ROW($N$3:N7))),IF(COUNTIF($N$3:N7,"狗")=0,10^9,LOOKUP(2,1/($N$3:N7="狗"),ROW($N$3:N7))),IF(COUNTIF($N$3:N7,"猪")=0,10^9,LOOKUP(2,1/($N$3:N7="猪"),ROW($N$3:N7))))-ROW($N$3)+1)),""))),0,IF(ISNUMBER(J7),J7+1,1)))</f>
        <v>4</v>
      </c>
      <c r="K8" s="5">
        <f t="shared" si="6"/>
        <v>6</v>
      </c>
      <c r="M8" s="6" t="str">
        <f t="shared" si="1"/>
        <v>8</v>
      </c>
      <c r="N8" s="2" t="str">
        <f t="shared" si="2"/>
        <v>羊</v>
      </c>
      <c r="O8" s="7" t="str">
        <f>IF(M8="","",IF(COUNTIF(M9:$M$1000,M8)&gt;0,"",M8))</f>
        <v/>
      </c>
      <c r="P8" s="8" t="str">
        <f>IF(N8="","",IF(COUNTIF(N9:$N$1000,N8)&gt;0,"",N8))</f>
        <v/>
      </c>
      <c r="Q8" s="21">
        <f t="shared" si="3"/>
        <v>84</v>
      </c>
      <c r="R8" s="22" t="str">
        <f t="shared" si="4"/>
        <v>羊</v>
      </c>
      <c r="U8" s="1" t="s">
        <v>23</v>
      </c>
      <c r="V8" s="1" t="str">
        <f t="shared" si="5"/>
        <v>蛇</v>
      </c>
      <c r="X8" s="2">
        <v>18</v>
      </c>
      <c r="Y8" s="2" t="s">
        <v>19</v>
      </c>
    </row>
    <row r="9" s="1" customFormat="1" spans="1:25">
      <c r="A9" s="2">
        <v>115056644</v>
      </c>
      <c r="B9" s="2">
        <v>48</v>
      </c>
      <c r="C9" s="2">
        <v>22</v>
      </c>
      <c r="D9" s="2">
        <v>12</v>
      </c>
      <c r="E9" s="2">
        <v>13</v>
      </c>
      <c r="F9" s="2">
        <v>21</v>
      </c>
      <c r="G9" s="2">
        <v>40</v>
      </c>
      <c r="H9" s="3">
        <v>36</v>
      </c>
      <c r="I9" s="2" t="str">
        <f t="shared" si="0"/>
        <v>羊</v>
      </c>
      <c r="J9" s="4">
        <f>IF(H9="","",IF(OR(AND(M9&lt;&gt;"",M9=IFERROR(INDEX($M$3:M8,MIN(IF(COUNTIF($M$3:M8,"0")=0,10^9,LOOKUP(2,1/($M$3:M8="0"),ROW($M$3:M8))),IF(COUNTIF($M$3:M8,"1")=0,10^9,LOOKUP(2,1/($M$3:M8="1"),ROW($M$3:M8))),IF(COUNTIF($M$3:M8,"2")=0,10^9,LOOKUP(2,1/($M$3:M8="2"),ROW($M$3:M8))),IF(COUNTIF($M$3:M8,"3")=0,10^9,LOOKUP(2,1/($M$3:M8="3"),ROW($M$3:M8))),IF(COUNTIF($M$3:M8,"4")=0,10^9,LOOKUP(2,1/($M$3:M8="4"),ROW($M$3:M8))),IF(COUNTIF($M$3:M8,"5")=0,10^9,LOOKUP(2,1/($M$3:M8="5"),ROW($M$3:M8))),IF(COUNTIF($M$3:M8,"6")=0,10^9,LOOKUP(2,1/($M$3:M8="6"),ROW($M$3:M8))),IF(COUNTIF($M$3:M8,"7")=0,10^9,LOOKUP(2,1/($M$3:M8="7"),ROW($M$3:M8))),IF(COUNTIF($M$3:M8,"8")=0,10^9,LOOKUP(2,1/($M$3:M8="8"),ROW($M$3:M8))),IF(COUNTIF($M$3:M8,"9")=0,10^9,LOOKUP(2,1/($M$3:M8="9"),ROW($M$3:M8))))-ROW($M$3)+1),"")),AND(N9&lt;&gt;"",N9=IFERROR(INDEX($N$3:N8,MIN(IF(COUNTIF($N$3:N8,"鼠")=0,10^9,LOOKUP(2,1/($N$3:N8="鼠"),ROW($N$3:N8))),IF(COUNTIF($N$3:N8,"牛")=0,10^9,LOOKUP(2,1/($N$3:N8="牛"),ROW($N$3:N8))),IF(COUNTIF($N$3:N8,"虎")=0,10^9,LOOKUP(2,1/($N$3:N8="虎"),ROW($N$3:N8))),IF(COUNTIF($N$3:N8,"兔")=0,10^9,LOOKUP(2,1/($N$3:N8="兔"),ROW($N$3:N8))),IF(COUNTIF($N$3:N8,"龙")=0,10^9,LOOKUP(2,1/($N$3:N8="龙"),ROW($N$3:N8))),IF(COUNTIF($N$3:N8,"蛇")=0,10^9,LOOKUP(2,1/($N$3:N8="蛇"),ROW($N$3:N8))),IF(COUNTIF($N$3:N8,"马")=0,10^9,LOOKUP(2,1/($N$3:N8="马"),ROW($N$3:N8))),IF(COUNTIF($N$3:N8,"羊")=0,10^9,LOOKUP(2,1/($N$3:N8="羊"),ROW($N$3:N8))),IF(COUNTIF($N$3:N8,"猴")=0,10^9,LOOKUP(2,1/($N$3:N8="猴"),ROW($N$3:N8))),IF(COUNTIF($N$3:N8,"鸡")=0,10^9,LOOKUP(2,1/($N$3:N8="鸡"),ROW($N$3:N8))),IF(COUNTIF($N$3:N8,"狗")=0,10^9,LOOKUP(2,1/($N$3:N8="狗"),ROW($N$3:N8))),IF(COUNTIF($N$3:N8,"猪")=0,10^9,LOOKUP(2,1/($N$3:N8="猪"),ROW($N$3:N8))))-ROW($N$3)+1),""))),0,IF(ISNUMBER(J8),J8+1,1)))</f>
        <v>0</v>
      </c>
      <c r="K9" s="5">
        <f t="shared" si="6"/>
        <v>0</v>
      </c>
      <c r="M9" s="6" t="str">
        <f t="shared" si="1"/>
        <v>6</v>
      </c>
      <c r="N9" s="2" t="str">
        <f t="shared" si="2"/>
        <v>羊</v>
      </c>
      <c r="O9" s="7" t="str">
        <f>IF(M9="","",IF(COUNTIF(M10:$M$1000,M9)&gt;0,"",M9))</f>
        <v/>
      </c>
      <c r="P9" s="8" t="str">
        <f>IF(N9="","",IF(COUNTIF(N10:$N$1000,N9)&gt;0,"",N9))</f>
        <v/>
      </c>
      <c r="Q9" s="21">
        <f t="shared" si="3"/>
        <v>97</v>
      </c>
      <c r="R9" s="22" t="str">
        <f t="shared" si="4"/>
        <v>马</v>
      </c>
      <c r="U9" s="1" t="s">
        <v>24</v>
      </c>
      <c r="V9" s="1" t="str">
        <f t="shared" si="5"/>
        <v>马</v>
      </c>
      <c r="X9" s="2">
        <v>30</v>
      </c>
      <c r="Y9" s="2" t="s">
        <v>19</v>
      </c>
    </row>
    <row r="10" s="1" customFormat="1" spans="1:25">
      <c r="A10" s="2">
        <v>115056645</v>
      </c>
      <c r="B10" s="2">
        <v>8</v>
      </c>
      <c r="C10" s="2">
        <v>42</v>
      </c>
      <c r="D10" s="2">
        <v>7</v>
      </c>
      <c r="E10" s="2">
        <v>37</v>
      </c>
      <c r="F10" s="2">
        <v>20</v>
      </c>
      <c r="G10" s="2">
        <v>45</v>
      </c>
      <c r="H10" s="3">
        <v>9</v>
      </c>
      <c r="I10" s="2" t="str">
        <f t="shared" si="0"/>
        <v>狗</v>
      </c>
      <c r="J10" s="4">
        <f>IF(H10="","",IF(OR(AND(M10&lt;&gt;"",M10=IFERROR(INDEX($M$3:M9,MIN(IF(COUNTIF($M$3:M9,"0")=0,10^9,LOOKUP(2,1/($M$3:M9="0"),ROW($M$3:M9))),IF(COUNTIF($M$3:M9,"1")=0,10^9,LOOKUP(2,1/($M$3:M9="1"),ROW($M$3:M9))),IF(COUNTIF($M$3:M9,"2")=0,10^9,LOOKUP(2,1/($M$3:M9="2"),ROW($M$3:M9))),IF(COUNTIF($M$3:M9,"3")=0,10^9,LOOKUP(2,1/($M$3:M9="3"),ROW($M$3:M9))),IF(COUNTIF($M$3:M9,"4")=0,10^9,LOOKUP(2,1/($M$3:M9="4"),ROW($M$3:M9))),IF(COUNTIF($M$3:M9,"5")=0,10^9,LOOKUP(2,1/($M$3:M9="5"),ROW($M$3:M9))),IF(COUNTIF($M$3:M9,"6")=0,10^9,LOOKUP(2,1/($M$3:M9="6"),ROW($M$3:M9))),IF(COUNTIF($M$3:M9,"7")=0,10^9,LOOKUP(2,1/($M$3:M9="7"),ROW($M$3:M9))),IF(COUNTIF($M$3:M9,"8")=0,10^9,LOOKUP(2,1/($M$3:M9="8"),ROW($M$3:M9))),IF(COUNTIF($M$3:M9,"9")=0,10^9,LOOKUP(2,1/($M$3:M9="9"),ROW($M$3:M9))))-ROW($M$3)+1),"")),AND(N10&lt;&gt;"",N10=IFERROR(INDEX($N$3:N9,MIN(IF(COUNTIF($N$3:N9,"鼠")=0,10^9,LOOKUP(2,1/($N$3:N9="鼠"),ROW($N$3:N9))),IF(COUNTIF($N$3:N9,"牛")=0,10^9,LOOKUP(2,1/($N$3:N9="牛"),ROW($N$3:N9))),IF(COUNTIF($N$3:N9,"虎")=0,10^9,LOOKUP(2,1/($N$3:N9="虎"),ROW($N$3:N9))),IF(COUNTIF($N$3:N9,"兔")=0,10^9,LOOKUP(2,1/($N$3:N9="兔"),ROW($N$3:N9))),IF(COUNTIF($N$3:N9,"龙")=0,10^9,LOOKUP(2,1/($N$3:N9="龙"),ROW($N$3:N9))),IF(COUNTIF($N$3:N9,"蛇")=0,10^9,LOOKUP(2,1/($N$3:N9="蛇"),ROW($N$3:N9))),IF(COUNTIF($N$3:N9,"马")=0,10^9,LOOKUP(2,1/($N$3:N9="马"),ROW($N$3:N9))),IF(COUNTIF($N$3:N9,"羊")=0,10^9,LOOKUP(2,1/($N$3:N9="羊"),ROW($N$3:N9))),IF(COUNTIF($N$3:N9,"猴")=0,10^9,LOOKUP(2,1/($N$3:N9="猴"),ROW($N$3:N9))),IF(COUNTIF($N$3:N9,"鸡")=0,10^9,LOOKUP(2,1/($N$3:N9="鸡"),ROW($N$3:N9))),IF(COUNTIF($N$3:N9,"狗")=0,10^9,LOOKUP(2,1/($N$3:N9="狗"),ROW($N$3:N9))),IF(COUNTIF($N$3:N9,"猪")=0,10^9,LOOKUP(2,1/($N$3:N9="猪"),ROW($N$3:N9))))-ROW($N$3)+1),""))),0,IF(ISNUMBER(J9),J9+1,1)))</f>
        <v>1</v>
      </c>
      <c r="K10" s="5">
        <f t="shared" si="6"/>
        <v>1</v>
      </c>
      <c r="M10" s="6" t="str">
        <f t="shared" si="1"/>
        <v>9</v>
      </c>
      <c r="N10" s="2" t="str">
        <f t="shared" si="2"/>
        <v>狗</v>
      </c>
      <c r="O10" s="7" t="str">
        <f>IF(M10="","",IF(COUNTIF(M11:$M$1000,M10)&gt;0,"",M10))</f>
        <v/>
      </c>
      <c r="P10" s="8" t="str">
        <f>IF(N10="","",IF(COUNTIF(N11:$N$1000,N10)&gt;0,"",N10))</f>
        <v/>
      </c>
      <c r="Q10" s="21">
        <f t="shared" si="3"/>
        <v>109</v>
      </c>
      <c r="R10" s="22" t="str">
        <f t="shared" si="4"/>
        <v>马</v>
      </c>
      <c r="U10" s="1" t="s">
        <v>25</v>
      </c>
      <c r="V10" s="1" t="str">
        <f t="shared" si="5"/>
        <v>羊</v>
      </c>
      <c r="X10" s="2">
        <v>42</v>
      </c>
      <c r="Y10" s="2" t="s">
        <v>19</v>
      </c>
    </row>
    <row r="11" s="1" customFormat="1" spans="1:25">
      <c r="A11" s="2">
        <v>115056646</v>
      </c>
      <c r="B11" s="2">
        <v>26</v>
      </c>
      <c r="C11" s="2">
        <v>30</v>
      </c>
      <c r="D11" s="2">
        <v>8</v>
      </c>
      <c r="E11" s="2">
        <v>49</v>
      </c>
      <c r="F11" s="2">
        <v>2</v>
      </c>
      <c r="G11" s="2">
        <v>17</v>
      </c>
      <c r="H11" s="3">
        <v>40</v>
      </c>
      <c r="I11" s="2" t="str">
        <f t="shared" si="0"/>
        <v>兔</v>
      </c>
      <c r="J11" s="4">
        <f>IF(H11="","",IF(OR(AND(M11&lt;&gt;"",M11=IFERROR(INDEX($M$3:M10,MIN(IF(COUNTIF($M$3:M10,"0")=0,10^9,LOOKUP(2,1/($M$3:M10="0"),ROW($M$3:M10))),IF(COUNTIF($M$3:M10,"1")=0,10^9,LOOKUP(2,1/($M$3:M10="1"),ROW($M$3:M10))),IF(COUNTIF($M$3:M10,"2")=0,10^9,LOOKUP(2,1/($M$3:M10="2"),ROW($M$3:M10))),IF(COUNTIF($M$3:M10,"3")=0,10^9,LOOKUP(2,1/($M$3:M10="3"),ROW($M$3:M10))),IF(COUNTIF($M$3:M10,"4")=0,10^9,LOOKUP(2,1/($M$3:M10="4"),ROW($M$3:M10))),IF(COUNTIF($M$3:M10,"5")=0,10^9,LOOKUP(2,1/($M$3:M10="5"),ROW($M$3:M10))),IF(COUNTIF($M$3:M10,"6")=0,10^9,LOOKUP(2,1/($M$3:M10="6"),ROW($M$3:M10))),IF(COUNTIF($M$3:M10,"7")=0,10^9,LOOKUP(2,1/($M$3:M10="7"),ROW($M$3:M10))),IF(COUNTIF($M$3:M10,"8")=0,10^9,LOOKUP(2,1/($M$3:M10="8"),ROW($M$3:M10))),IF(COUNTIF($M$3:M10,"9")=0,10^9,LOOKUP(2,1/($M$3:M10="9"),ROW($M$3:M10))))-ROW($M$3)+1),"")),AND(N11&lt;&gt;"",N11=IFERROR(INDEX($N$3:N10,MIN(IF(COUNTIF($N$3:N10,"鼠")=0,10^9,LOOKUP(2,1/($N$3:N10="鼠"),ROW($N$3:N10))),IF(COUNTIF($N$3:N10,"牛")=0,10^9,LOOKUP(2,1/($N$3:N10="牛"),ROW($N$3:N10))),IF(COUNTIF($N$3:N10,"虎")=0,10^9,LOOKUP(2,1/($N$3:N10="虎"),ROW($N$3:N10))),IF(COUNTIF($N$3:N10,"兔")=0,10^9,LOOKUP(2,1/($N$3:N10="兔"),ROW($N$3:N10))),IF(COUNTIF($N$3:N10,"龙")=0,10^9,LOOKUP(2,1/($N$3:N10="龙"),ROW($N$3:N10))),IF(COUNTIF($N$3:N10,"蛇")=0,10^9,LOOKUP(2,1/($N$3:N10="蛇"),ROW($N$3:N10))),IF(COUNTIF($N$3:N10,"马")=0,10^9,LOOKUP(2,1/($N$3:N10="马"),ROW($N$3:N10))),IF(COUNTIF($N$3:N10,"羊")=0,10^9,LOOKUP(2,1/($N$3:N10="羊"),ROW($N$3:N10))),IF(COUNTIF($N$3:N10,"猴")=0,10^9,LOOKUP(2,1/($N$3:N10="猴"),ROW($N$3:N10))),IF(COUNTIF($N$3:N10,"鸡")=0,10^9,LOOKUP(2,1/($N$3:N10="鸡"),ROW($N$3:N10))),IF(COUNTIF($N$3:N10,"狗")=0,10^9,LOOKUP(2,1/($N$3:N10="狗"),ROW($N$3:N10))),IF(COUNTIF($N$3:N10,"猪")=0,10^9,LOOKUP(2,1/($N$3:N10="猪"),ROW($N$3:N10))))-ROW($N$3)+1),""))),0,IF(ISNUMBER(J10),J10+1,1)))</f>
        <v>0</v>
      </c>
      <c r="K11" s="5">
        <f t="shared" si="6"/>
        <v>2</v>
      </c>
      <c r="M11" s="6" t="str">
        <f t="shared" si="1"/>
        <v>0</v>
      </c>
      <c r="N11" s="2" t="str">
        <f t="shared" si="2"/>
        <v>兔</v>
      </c>
      <c r="O11" s="7" t="str">
        <f>IF(M11="","",IF(COUNTIF(M12:$M$1000,M11)&gt;0,"",M11))</f>
        <v/>
      </c>
      <c r="P11" s="8" t="str">
        <f>IF(N11="","",IF(COUNTIF(N12:$N$1000,N11)&gt;0,"",N11))</f>
        <v/>
      </c>
      <c r="Q11" s="21">
        <f t="shared" si="3"/>
        <v>102</v>
      </c>
      <c r="R11" s="22" t="str">
        <f t="shared" si="4"/>
        <v>牛</v>
      </c>
      <c r="U11" s="1" t="s">
        <v>26</v>
      </c>
      <c r="V11" s="1" t="str">
        <f t="shared" si="5"/>
        <v>猴</v>
      </c>
      <c r="X11" s="2">
        <v>5</v>
      </c>
      <c r="Y11" s="2" t="s">
        <v>20</v>
      </c>
    </row>
    <row r="12" s="1" customFormat="1" spans="1:25">
      <c r="A12" s="2">
        <v>115056647</v>
      </c>
      <c r="B12" s="2">
        <v>15</v>
      </c>
      <c r="C12" s="2">
        <v>45</v>
      </c>
      <c r="D12" s="2">
        <v>23</v>
      </c>
      <c r="E12" s="2">
        <v>47</v>
      </c>
      <c r="F12" s="2">
        <v>10</v>
      </c>
      <c r="G12" s="2">
        <v>22</v>
      </c>
      <c r="H12" s="3">
        <v>44</v>
      </c>
      <c r="I12" s="2" t="str">
        <f t="shared" si="0"/>
        <v>猪</v>
      </c>
      <c r="J12" s="4">
        <f>IF(H12="","",IF(OR(AND(M12&lt;&gt;"",M12=IFERROR(INDEX($M$3:M11,MIN(IF(COUNTIF($M$3:M11,"0")=0,10^9,LOOKUP(2,1/($M$3:M11="0"),ROW($M$3:M11))),IF(COUNTIF($M$3:M11,"1")=0,10^9,LOOKUP(2,1/($M$3:M11="1"),ROW($M$3:M11))),IF(COUNTIF($M$3:M11,"2")=0,10^9,LOOKUP(2,1/($M$3:M11="2"),ROW($M$3:M11))),IF(COUNTIF($M$3:M11,"3")=0,10^9,LOOKUP(2,1/($M$3:M11="3"),ROW($M$3:M11))),IF(COUNTIF($M$3:M11,"4")=0,10^9,LOOKUP(2,1/($M$3:M11="4"),ROW($M$3:M11))),IF(COUNTIF($M$3:M11,"5")=0,10^9,LOOKUP(2,1/($M$3:M11="5"),ROW($M$3:M11))),IF(COUNTIF($M$3:M11,"6")=0,10^9,LOOKUP(2,1/($M$3:M11="6"),ROW($M$3:M11))),IF(COUNTIF($M$3:M11,"7")=0,10^9,LOOKUP(2,1/($M$3:M11="7"),ROW($M$3:M11))),IF(COUNTIF($M$3:M11,"8")=0,10^9,LOOKUP(2,1/($M$3:M11="8"),ROW($M$3:M11))),IF(COUNTIF($M$3:M11,"9")=0,10^9,LOOKUP(2,1/($M$3:M11="9"),ROW($M$3:M11))))-ROW($M$3)+1),"")),AND(N12&lt;&gt;"",N12=IFERROR(INDEX($N$3:N11,MIN(IF(COUNTIF($N$3:N11,"鼠")=0,10^9,LOOKUP(2,1/($N$3:N11="鼠"),ROW($N$3:N11))),IF(COUNTIF($N$3:N11,"牛")=0,10^9,LOOKUP(2,1/($N$3:N11="牛"),ROW($N$3:N11))),IF(COUNTIF($N$3:N11,"虎")=0,10^9,LOOKUP(2,1/($N$3:N11="虎"),ROW($N$3:N11))),IF(COUNTIF($N$3:N11,"兔")=0,10^9,LOOKUP(2,1/($N$3:N11="兔"),ROW($N$3:N11))),IF(COUNTIF($N$3:N11,"龙")=0,10^9,LOOKUP(2,1/($N$3:N11="龙"),ROW($N$3:N11))),IF(COUNTIF($N$3:N11,"蛇")=0,10^9,LOOKUP(2,1/($N$3:N11="蛇"),ROW($N$3:N11))),IF(COUNTIF($N$3:N11,"马")=0,10^9,LOOKUP(2,1/($N$3:N11="马"),ROW($N$3:N11))),IF(COUNTIF($N$3:N11,"羊")=0,10^9,LOOKUP(2,1/($N$3:N11="羊"),ROW($N$3:N11))),IF(COUNTIF($N$3:N11,"猴")=0,10^9,LOOKUP(2,1/($N$3:N11="猴"),ROW($N$3:N11))),IF(COUNTIF($N$3:N11,"鸡")=0,10^9,LOOKUP(2,1/($N$3:N11="鸡"),ROW($N$3:N11))),IF(COUNTIF($N$3:N11,"狗")=0,10^9,LOOKUP(2,1/($N$3:N11="狗"),ROW($N$3:N11))),IF(COUNTIF($N$3:N11,"猪")=0,10^9,LOOKUP(2,1/($N$3:N11="猪"),ROW($N$3:N11))))-ROW($N$3)+1),""))),0,IF(ISNUMBER(J11),J11+1,1)))</f>
        <v>1</v>
      </c>
      <c r="K12" s="5">
        <f t="shared" si="6"/>
        <v>3</v>
      </c>
      <c r="M12" s="6" t="str">
        <f t="shared" si="1"/>
        <v>4</v>
      </c>
      <c r="N12" s="2" t="str">
        <f t="shared" si="2"/>
        <v>猪</v>
      </c>
      <c r="O12" s="7" t="str">
        <f>IF(M12="","",IF(COUNTIF(M13:$M$1000,M12)&gt;0,"",M12))</f>
        <v/>
      </c>
      <c r="P12" s="8" t="str">
        <f>IF(N12="","",IF(COUNTIF(N13:$N$1000,N12)&gt;0,"",N12))</f>
        <v/>
      </c>
      <c r="Q12" s="21">
        <f t="shared" si="3"/>
        <v>101</v>
      </c>
      <c r="R12" s="22" t="str">
        <f t="shared" si="4"/>
        <v>虎</v>
      </c>
      <c r="U12" s="1" t="s">
        <v>27</v>
      </c>
      <c r="V12" s="1" t="str">
        <f t="shared" si="5"/>
        <v>鸡</v>
      </c>
      <c r="X12" s="2">
        <v>17</v>
      </c>
      <c r="Y12" s="2" t="s">
        <v>20</v>
      </c>
    </row>
    <row r="13" s="1" customFormat="1" spans="1:25">
      <c r="A13" s="2">
        <v>115056648</v>
      </c>
      <c r="B13" s="2">
        <v>46</v>
      </c>
      <c r="C13" s="2">
        <v>38</v>
      </c>
      <c r="D13" s="2">
        <v>20</v>
      </c>
      <c r="E13" s="2">
        <v>23</v>
      </c>
      <c r="F13" s="2">
        <v>4</v>
      </c>
      <c r="G13" s="2">
        <v>32</v>
      </c>
      <c r="H13" s="3">
        <v>7</v>
      </c>
      <c r="I13" s="2" t="str">
        <f t="shared" si="0"/>
        <v>鼠</v>
      </c>
      <c r="J13" s="4">
        <f>IF(H13="","",IF(OR(AND(M13&lt;&gt;"",M13=IFERROR(INDEX($M$3:M12,MIN(IF(COUNTIF($M$3:M12,"0")=0,10^9,LOOKUP(2,1/($M$3:M12="0"),ROW($M$3:M12))),IF(COUNTIF($M$3:M12,"1")=0,10^9,LOOKUP(2,1/($M$3:M12="1"),ROW($M$3:M12))),IF(COUNTIF($M$3:M12,"2")=0,10^9,LOOKUP(2,1/($M$3:M12="2"),ROW($M$3:M12))),IF(COUNTIF($M$3:M12,"3")=0,10^9,LOOKUP(2,1/($M$3:M12="3"),ROW($M$3:M12))),IF(COUNTIF($M$3:M12,"4")=0,10^9,LOOKUP(2,1/($M$3:M12="4"),ROW($M$3:M12))),IF(COUNTIF($M$3:M12,"5")=0,10^9,LOOKUP(2,1/($M$3:M12="5"),ROW($M$3:M12))),IF(COUNTIF($M$3:M12,"6")=0,10^9,LOOKUP(2,1/($M$3:M12="6"),ROW($M$3:M12))),IF(COUNTIF($M$3:M12,"7")=0,10^9,LOOKUP(2,1/($M$3:M12="7"),ROW($M$3:M12))),IF(COUNTIF($M$3:M12,"8")=0,10^9,LOOKUP(2,1/($M$3:M12="8"),ROW($M$3:M12))),IF(COUNTIF($M$3:M12,"9")=0,10^9,LOOKUP(2,1/($M$3:M12="9"),ROW($M$3:M12))))-ROW($M$3)+1),"")),AND(N13&lt;&gt;"",N13=IFERROR(INDEX($N$3:N12,MIN(IF(COUNTIF($N$3:N12,"鼠")=0,10^9,LOOKUP(2,1/($N$3:N12="鼠"),ROW($N$3:N12))),IF(COUNTIF($N$3:N12,"牛")=0,10^9,LOOKUP(2,1/($N$3:N12="牛"),ROW($N$3:N12))),IF(COUNTIF($N$3:N12,"虎")=0,10^9,LOOKUP(2,1/($N$3:N12="虎"),ROW($N$3:N12))),IF(COUNTIF($N$3:N12,"兔")=0,10^9,LOOKUP(2,1/($N$3:N12="兔"),ROW($N$3:N12))),IF(COUNTIF($N$3:N12,"龙")=0,10^9,LOOKUP(2,1/($N$3:N12="龙"),ROW($N$3:N12))),IF(COUNTIF($N$3:N12,"蛇")=0,10^9,LOOKUP(2,1/($N$3:N12="蛇"),ROW($N$3:N12))),IF(COUNTIF($N$3:N12,"马")=0,10^9,LOOKUP(2,1/($N$3:N12="马"),ROW($N$3:N12))),IF(COUNTIF($N$3:N12,"羊")=0,10^9,LOOKUP(2,1/($N$3:N12="羊"),ROW($N$3:N12))),IF(COUNTIF($N$3:N12,"猴")=0,10^9,LOOKUP(2,1/($N$3:N12="猴"),ROW($N$3:N12))),IF(COUNTIF($N$3:N12,"鸡")=0,10^9,LOOKUP(2,1/($N$3:N12="鸡"),ROW($N$3:N12))),IF(COUNTIF($N$3:N12,"狗")=0,10^9,LOOKUP(2,1/($N$3:N12="狗"),ROW($N$3:N12))),IF(COUNTIF($N$3:N12,"猪")=0,10^9,LOOKUP(2,1/($N$3:N12="猪"),ROW($N$3:N12))))-ROW($N$3)+1),""))),0,IF(ISNUMBER(J12),J12+1,1)))</f>
        <v>2</v>
      </c>
      <c r="K13" s="5">
        <f t="shared" si="6"/>
        <v>4</v>
      </c>
      <c r="M13" s="6" t="str">
        <f t="shared" si="1"/>
        <v>7</v>
      </c>
      <c r="N13" s="2" t="str">
        <f t="shared" si="2"/>
        <v>鼠</v>
      </c>
      <c r="O13" s="7" t="str">
        <f>IF(M13="","",IF(COUNTIF(M14:$M$1000,M13)&gt;0,"",M13))</f>
        <v/>
      </c>
      <c r="P13" s="8" t="str">
        <f>IF(N13="","",IF(COUNTIF(N14:$N$1000,N13)&gt;0,"",N13))</f>
        <v/>
      </c>
      <c r="Q13" s="21">
        <f t="shared" si="3"/>
        <v>101</v>
      </c>
      <c r="R13" s="22" t="str">
        <f t="shared" si="4"/>
        <v>虎</v>
      </c>
      <c r="U13" s="1" t="s">
        <v>28</v>
      </c>
      <c r="V13" s="1" t="str">
        <f t="shared" si="5"/>
        <v>狗</v>
      </c>
      <c r="X13" s="2">
        <v>29</v>
      </c>
      <c r="Y13" s="2" t="s">
        <v>20</v>
      </c>
    </row>
    <row r="14" s="1" customFormat="1" spans="1:25">
      <c r="A14" s="2">
        <v>115056649</v>
      </c>
      <c r="B14" s="2">
        <v>47</v>
      </c>
      <c r="C14" s="2">
        <v>29</v>
      </c>
      <c r="D14" s="2">
        <v>24</v>
      </c>
      <c r="E14" s="2">
        <v>19</v>
      </c>
      <c r="F14" s="2">
        <v>27</v>
      </c>
      <c r="G14" s="2">
        <v>22</v>
      </c>
      <c r="H14" s="3">
        <v>45</v>
      </c>
      <c r="I14" s="2" t="str">
        <f t="shared" si="0"/>
        <v>狗</v>
      </c>
      <c r="J14" s="4">
        <f>IF(H14="","",IF(OR(AND(M14&lt;&gt;"",M14=IFERROR(INDEX($M$3:M13,MIN(IF(COUNTIF($M$3:M13,"0")=0,10^9,LOOKUP(2,1/($M$3:M13="0"),ROW($M$3:M13))),IF(COUNTIF($M$3:M13,"1")=0,10^9,LOOKUP(2,1/($M$3:M13="1"),ROW($M$3:M13))),IF(COUNTIF($M$3:M13,"2")=0,10^9,LOOKUP(2,1/($M$3:M13="2"),ROW($M$3:M13))),IF(COUNTIF($M$3:M13,"3")=0,10^9,LOOKUP(2,1/($M$3:M13="3"),ROW($M$3:M13))),IF(COUNTIF($M$3:M13,"4")=0,10^9,LOOKUP(2,1/($M$3:M13="4"),ROW($M$3:M13))),IF(COUNTIF($M$3:M13,"5")=0,10^9,LOOKUP(2,1/($M$3:M13="5"),ROW($M$3:M13))),IF(COUNTIF($M$3:M13,"6")=0,10^9,LOOKUP(2,1/($M$3:M13="6"),ROW($M$3:M13))),IF(COUNTIF($M$3:M13,"7")=0,10^9,LOOKUP(2,1/($M$3:M13="7"),ROW($M$3:M13))),IF(COUNTIF($M$3:M13,"8")=0,10^9,LOOKUP(2,1/($M$3:M13="8"),ROW($M$3:M13))),IF(COUNTIF($M$3:M13,"9")=0,10^9,LOOKUP(2,1/($M$3:M13="9"),ROW($M$3:M13))))-ROW($M$3)+1),"")),AND(N14&lt;&gt;"",N14=IFERROR(INDEX($N$3:N13,MIN(IF(COUNTIF($N$3:N13,"鼠")=0,10^9,LOOKUP(2,1/($N$3:N13="鼠"),ROW($N$3:N13))),IF(COUNTIF($N$3:N13,"牛")=0,10^9,LOOKUP(2,1/($N$3:N13="牛"),ROW($N$3:N13))),IF(COUNTIF($N$3:N13,"虎")=0,10^9,LOOKUP(2,1/($N$3:N13="虎"),ROW($N$3:N13))),IF(COUNTIF($N$3:N13,"兔")=0,10^9,LOOKUP(2,1/($N$3:N13="兔"),ROW($N$3:N13))),IF(COUNTIF($N$3:N13,"龙")=0,10^9,LOOKUP(2,1/($N$3:N13="龙"),ROW($N$3:N13))),IF(COUNTIF($N$3:N13,"蛇")=0,10^9,LOOKUP(2,1/($N$3:N13="蛇"),ROW($N$3:N13))),IF(COUNTIF($N$3:N13,"马")=0,10^9,LOOKUP(2,1/($N$3:N13="马"),ROW($N$3:N13))),IF(COUNTIF($N$3:N13,"羊")=0,10^9,LOOKUP(2,1/($N$3:N13="羊"),ROW($N$3:N13))),IF(COUNTIF($N$3:N13,"猴")=0,10^9,LOOKUP(2,1/($N$3:N13="猴"),ROW($N$3:N13))),IF(COUNTIF($N$3:N13,"鸡")=0,10^9,LOOKUP(2,1/($N$3:N13="鸡"),ROW($N$3:N13))),IF(COUNTIF($N$3:N13,"狗")=0,10^9,LOOKUP(2,1/($N$3:N13="狗"),ROW($N$3:N13))),IF(COUNTIF($N$3:N13,"猪")=0,10^9,LOOKUP(2,1/($N$3:N13="猪"),ROW($N$3:N13))))-ROW($N$3)+1),""))),0,IF(ISNUMBER(J13),J13+1,1)))</f>
        <v>3</v>
      </c>
      <c r="K14" s="5">
        <f t="shared" si="6"/>
        <v>5</v>
      </c>
      <c r="M14" s="6" t="str">
        <f t="shared" si="1"/>
        <v>5</v>
      </c>
      <c r="N14" s="2" t="str">
        <f t="shared" si="2"/>
        <v>狗</v>
      </c>
      <c r="O14" s="7" t="str">
        <f>IF(M14="","",IF(COUNTIF(M15:$M$1000,M14)&gt;0,"",M14))</f>
        <v/>
      </c>
      <c r="P14" s="8" t="str">
        <f>IF(N14="","",IF(COUNTIF(N15:$N$1000,N14)&gt;0,"",N14))</f>
        <v/>
      </c>
      <c r="Q14" s="21">
        <f t="shared" si="3"/>
        <v>97</v>
      </c>
      <c r="R14" s="22" t="str">
        <f t="shared" si="4"/>
        <v>马</v>
      </c>
      <c r="U14" s="1" t="s">
        <v>29</v>
      </c>
      <c r="V14" s="1" t="str">
        <f t="shared" si="5"/>
        <v>猪</v>
      </c>
      <c r="X14" s="2">
        <v>41</v>
      </c>
      <c r="Y14" s="2" t="s">
        <v>20</v>
      </c>
    </row>
    <row r="15" s="1" customFormat="1" spans="1:25">
      <c r="A15" s="2">
        <v>115056650</v>
      </c>
      <c r="B15" s="2">
        <v>3</v>
      </c>
      <c r="C15" s="2">
        <v>31</v>
      </c>
      <c r="D15" s="2">
        <v>14</v>
      </c>
      <c r="E15" s="2">
        <v>7</v>
      </c>
      <c r="F15" s="2">
        <v>37</v>
      </c>
      <c r="G15" s="2">
        <v>19</v>
      </c>
      <c r="H15" s="3">
        <v>39</v>
      </c>
      <c r="I15" s="2" t="str">
        <f t="shared" si="0"/>
        <v>龙</v>
      </c>
      <c r="J15" s="4">
        <f>IF(H15="","",IF(OR(AND(M15&lt;&gt;"",M15=IFERROR(INDEX($M$3:M14,MIN(IF(COUNTIF($M$3:M14,"0")=0,10^9,LOOKUP(2,1/($M$3:M14="0"),ROW($M$3:M14))),IF(COUNTIF($M$3:M14,"1")=0,10^9,LOOKUP(2,1/($M$3:M14="1"),ROW($M$3:M14))),IF(COUNTIF($M$3:M14,"2")=0,10^9,LOOKUP(2,1/($M$3:M14="2"),ROW($M$3:M14))),IF(COUNTIF($M$3:M14,"3")=0,10^9,LOOKUP(2,1/($M$3:M14="3"),ROW($M$3:M14))),IF(COUNTIF($M$3:M14,"4")=0,10^9,LOOKUP(2,1/($M$3:M14="4"),ROW($M$3:M14))),IF(COUNTIF($M$3:M14,"5")=0,10^9,LOOKUP(2,1/($M$3:M14="5"),ROW($M$3:M14))),IF(COUNTIF($M$3:M14,"6")=0,10^9,LOOKUP(2,1/($M$3:M14="6"),ROW($M$3:M14))),IF(COUNTIF($M$3:M14,"7")=0,10^9,LOOKUP(2,1/($M$3:M14="7"),ROW($M$3:M14))),IF(COUNTIF($M$3:M14,"8")=0,10^9,LOOKUP(2,1/($M$3:M14="8"),ROW($M$3:M14))),IF(COUNTIF($M$3:M14,"9")=0,10^9,LOOKUP(2,1/($M$3:M14="9"),ROW($M$3:M14))))-ROW($M$3)+1),"")),AND(N15&lt;&gt;"",N15=IFERROR(INDEX($N$3:N14,MIN(IF(COUNTIF($N$3:N14,"鼠")=0,10^9,LOOKUP(2,1/($N$3:N14="鼠"),ROW($N$3:N14))),IF(COUNTIF($N$3:N14,"牛")=0,10^9,LOOKUP(2,1/($N$3:N14="牛"),ROW($N$3:N14))),IF(COUNTIF($N$3:N14,"虎")=0,10^9,LOOKUP(2,1/($N$3:N14="虎"),ROW($N$3:N14))),IF(COUNTIF($N$3:N14,"兔")=0,10^9,LOOKUP(2,1/($N$3:N14="兔"),ROW($N$3:N14))),IF(COUNTIF($N$3:N14,"龙")=0,10^9,LOOKUP(2,1/($N$3:N14="龙"),ROW($N$3:N14))),IF(COUNTIF($N$3:N14,"蛇")=0,10^9,LOOKUP(2,1/($N$3:N14="蛇"),ROW($N$3:N14))),IF(COUNTIF($N$3:N14,"马")=0,10^9,LOOKUP(2,1/($N$3:N14="马"),ROW($N$3:N14))),IF(COUNTIF($N$3:N14,"羊")=0,10^9,LOOKUP(2,1/($N$3:N14="羊"),ROW($N$3:N14))),IF(COUNTIF($N$3:N14,"猴")=0,10^9,LOOKUP(2,1/($N$3:N14="猴"),ROW($N$3:N14))),IF(COUNTIF($N$3:N14,"鸡")=0,10^9,LOOKUP(2,1/($N$3:N14="鸡"),ROW($N$3:N14))),IF(COUNTIF($N$3:N14,"狗")=0,10^9,LOOKUP(2,1/($N$3:N14="狗"),ROW($N$3:N14))),IF(COUNTIF($N$3:N14,"猪")=0,10^9,LOOKUP(2,1/($N$3:N14="猪"),ROW($N$3:N14))))-ROW($N$3)+1),""))),0,IF(ISNUMBER(J14),J14+1,1)))</f>
        <v>4</v>
      </c>
      <c r="K15" s="5">
        <f t="shared" si="6"/>
        <v>6</v>
      </c>
      <c r="M15" s="6" t="str">
        <f t="shared" si="1"/>
        <v>9</v>
      </c>
      <c r="N15" s="2" t="str">
        <f t="shared" si="2"/>
        <v>龙</v>
      </c>
      <c r="O15" s="7" t="str">
        <f>IF(M15="","",IF(COUNTIF(M16:$M$1000,M15)&gt;0,"",M15))</f>
        <v/>
      </c>
      <c r="P15" s="8" t="str">
        <f>IF(N15="","",IF(COUNTIF(N16:$N$1000,N15)&gt;0,"",N15))</f>
        <v/>
      </c>
      <c r="Q15" s="21">
        <f t="shared" si="3"/>
        <v>80</v>
      </c>
      <c r="R15" s="22" t="str">
        <f t="shared" si="4"/>
        <v>猪</v>
      </c>
      <c r="X15" s="2">
        <v>4</v>
      </c>
      <c r="Y15" s="2" t="s">
        <v>21</v>
      </c>
    </row>
    <row r="16" s="1" customFormat="1" spans="1:25">
      <c r="A16" s="2">
        <v>115056651</v>
      </c>
      <c r="B16" s="2">
        <v>33</v>
      </c>
      <c r="C16" s="2">
        <v>34</v>
      </c>
      <c r="D16" s="2">
        <v>41</v>
      </c>
      <c r="E16" s="2">
        <v>46</v>
      </c>
      <c r="F16" s="2">
        <v>39</v>
      </c>
      <c r="G16" s="2">
        <v>47</v>
      </c>
      <c r="H16" s="3">
        <v>16</v>
      </c>
      <c r="I16" s="2" t="str">
        <f t="shared" si="0"/>
        <v>兔</v>
      </c>
      <c r="J16" s="4">
        <f>IF(H16="","",IF(OR(AND(M16&lt;&gt;"",M16=IFERROR(INDEX($M$3:M15,MIN(IF(COUNTIF($M$3:M15,"0")=0,10^9,LOOKUP(2,1/($M$3:M15="0"),ROW($M$3:M15))),IF(COUNTIF($M$3:M15,"1")=0,10^9,LOOKUP(2,1/($M$3:M15="1"),ROW($M$3:M15))),IF(COUNTIF($M$3:M15,"2")=0,10^9,LOOKUP(2,1/($M$3:M15="2"),ROW($M$3:M15))),IF(COUNTIF($M$3:M15,"3")=0,10^9,LOOKUP(2,1/($M$3:M15="3"),ROW($M$3:M15))),IF(COUNTIF($M$3:M15,"4")=0,10^9,LOOKUP(2,1/($M$3:M15="4"),ROW($M$3:M15))),IF(COUNTIF($M$3:M15,"5")=0,10^9,LOOKUP(2,1/($M$3:M15="5"),ROW($M$3:M15))),IF(COUNTIF($M$3:M15,"6")=0,10^9,LOOKUP(2,1/($M$3:M15="6"),ROW($M$3:M15))),IF(COUNTIF($M$3:M15,"7")=0,10^9,LOOKUP(2,1/($M$3:M15="7"),ROW($M$3:M15))),IF(COUNTIF($M$3:M15,"8")=0,10^9,LOOKUP(2,1/($M$3:M15="8"),ROW($M$3:M15))),IF(COUNTIF($M$3:M15,"9")=0,10^9,LOOKUP(2,1/($M$3:M15="9"),ROW($M$3:M15))))-ROW($M$3)+1),"")),AND(N16&lt;&gt;"",N16=IFERROR(INDEX($N$3:N15,MIN(IF(COUNTIF($N$3:N15,"鼠")=0,10^9,LOOKUP(2,1/($N$3:N15="鼠"),ROW($N$3:N15))),IF(COUNTIF($N$3:N15,"牛")=0,10^9,LOOKUP(2,1/($N$3:N15="牛"),ROW($N$3:N15))),IF(COUNTIF($N$3:N15,"虎")=0,10^9,LOOKUP(2,1/($N$3:N15="虎"),ROW($N$3:N15))),IF(COUNTIF($N$3:N15,"兔")=0,10^9,LOOKUP(2,1/($N$3:N15="兔"),ROW($N$3:N15))),IF(COUNTIF($N$3:N15,"龙")=0,10^9,LOOKUP(2,1/($N$3:N15="龙"),ROW($N$3:N15))),IF(COUNTIF($N$3:N15,"蛇")=0,10^9,LOOKUP(2,1/($N$3:N15="蛇"),ROW($N$3:N15))),IF(COUNTIF($N$3:N15,"马")=0,10^9,LOOKUP(2,1/($N$3:N15="马"),ROW($N$3:N15))),IF(COUNTIF($N$3:N15,"羊")=0,10^9,LOOKUP(2,1/($N$3:N15="羊"),ROW($N$3:N15))),IF(COUNTIF($N$3:N15,"猴")=0,10^9,LOOKUP(2,1/($N$3:N15="猴"),ROW($N$3:N15))),IF(COUNTIF($N$3:N15,"鸡")=0,10^9,LOOKUP(2,1/($N$3:N15="鸡"),ROW($N$3:N15))),IF(COUNTIF($N$3:N15,"狗")=0,10^9,LOOKUP(2,1/($N$3:N15="狗"),ROW($N$3:N15))),IF(COUNTIF($N$3:N15,"猪")=0,10^9,LOOKUP(2,1/($N$3:N15="猪"),ROW($N$3:N15))))-ROW($N$3)+1),""))),0,IF(ISNUMBER(J15),J15+1,1)))</f>
        <v>5</v>
      </c>
      <c r="K16" s="5">
        <f t="shared" si="6"/>
        <v>7</v>
      </c>
      <c r="M16" s="6" t="str">
        <f t="shared" si="1"/>
        <v>6</v>
      </c>
      <c r="N16" s="2" t="str">
        <f t="shared" si="2"/>
        <v>兔</v>
      </c>
      <c r="O16" s="7" t="str">
        <f>IF(M16="","",IF(COUNTIF(M17:$M$1000,M16)&gt;0,"",M16))</f>
        <v/>
      </c>
      <c r="P16" s="8" t="str">
        <f>IF(N16="","",IF(COUNTIF(N17:$N$1000,N16)&gt;0,"",N16))</f>
        <v/>
      </c>
      <c r="Q16" s="21">
        <f t="shared" si="3"/>
        <v>112</v>
      </c>
      <c r="R16" s="22" t="str">
        <f t="shared" si="4"/>
        <v>兔</v>
      </c>
      <c r="X16" s="2">
        <v>16</v>
      </c>
      <c r="Y16" s="2" t="s">
        <v>21</v>
      </c>
    </row>
    <row r="17" s="1" customFormat="1" spans="1:25">
      <c r="A17" s="2">
        <v>115056652</v>
      </c>
      <c r="B17" s="2">
        <v>46</v>
      </c>
      <c r="C17" s="2">
        <v>43</v>
      </c>
      <c r="D17" s="2">
        <v>29</v>
      </c>
      <c r="E17" s="2">
        <v>5</v>
      </c>
      <c r="F17" s="2">
        <v>37</v>
      </c>
      <c r="G17" s="2">
        <v>4</v>
      </c>
      <c r="H17" s="3">
        <v>31</v>
      </c>
      <c r="I17" s="2" t="str">
        <f t="shared" si="0"/>
        <v>鼠</v>
      </c>
      <c r="J17" s="4">
        <f>IF(H17="","",IF(OR(AND(M17&lt;&gt;"",M17=IFERROR(INDEX($M$3:M16,MIN(IF(COUNTIF($M$3:M16,"0")=0,10^9,LOOKUP(2,1/($M$3:M16="0"),ROW($M$3:M16))),IF(COUNTIF($M$3:M16,"1")=0,10^9,LOOKUP(2,1/($M$3:M16="1"),ROW($M$3:M16))),IF(COUNTIF($M$3:M16,"2")=0,10^9,LOOKUP(2,1/($M$3:M16="2"),ROW($M$3:M16))),IF(COUNTIF($M$3:M16,"3")=0,10^9,LOOKUP(2,1/($M$3:M16="3"),ROW($M$3:M16))),IF(COUNTIF($M$3:M16,"4")=0,10^9,LOOKUP(2,1/($M$3:M16="4"),ROW($M$3:M16))),IF(COUNTIF($M$3:M16,"5")=0,10^9,LOOKUP(2,1/($M$3:M16="5"),ROW($M$3:M16))),IF(COUNTIF($M$3:M16,"6")=0,10^9,LOOKUP(2,1/($M$3:M16="6"),ROW($M$3:M16))),IF(COUNTIF($M$3:M16,"7")=0,10^9,LOOKUP(2,1/($M$3:M16="7"),ROW($M$3:M16))),IF(COUNTIF($M$3:M16,"8")=0,10^9,LOOKUP(2,1/($M$3:M16="8"),ROW($M$3:M16))),IF(COUNTIF($M$3:M16,"9")=0,10^9,LOOKUP(2,1/($M$3:M16="9"),ROW($M$3:M16))))-ROW($M$3)+1),"")),AND(N17&lt;&gt;"",N17=IFERROR(INDEX($N$3:N16,MIN(IF(COUNTIF($N$3:N16,"鼠")=0,10^9,LOOKUP(2,1/($N$3:N16="鼠"),ROW($N$3:N16))),IF(COUNTIF($N$3:N16,"牛")=0,10^9,LOOKUP(2,1/($N$3:N16="牛"),ROW($N$3:N16))),IF(COUNTIF($N$3:N16,"虎")=0,10^9,LOOKUP(2,1/($N$3:N16="虎"),ROW($N$3:N16))),IF(COUNTIF($N$3:N16,"兔")=0,10^9,LOOKUP(2,1/($N$3:N16="兔"),ROW($N$3:N16))),IF(COUNTIF($N$3:N16,"龙")=0,10^9,LOOKUP(2,1/($N$3:N16="龙"),ROW($N$3:N16))),IF(COUNTIF($N$3:N16,"蛇")=0,10^9,LOOKUP(2,1/($N$3:N16="蛇"),ROW($N$3:N16))),IF(COUNTIF($N$3:N16,"马")=0,10^9,LOOKUP(2,1/($N$3:N16="马"),ROW($N$3:N16))),IF(COUNTIF($N$3:N16,"羊")=0,10^9,LOOKUP(2,1/($N$3:N16="羊"),ROW($N$3:N16))),IF(COUNTIF($N$3:N16,"猴")=0,10^9,LOOKUP(2,1/($N$3:N16="猴"),ROW($N$3:N16))),IF(COUNTIF($N$3:N16,"鸡")=0,10^9,LOOKUP(2,1/($N$3:N16="鸡"),ROW($N$3:N16))),IF(COUNTIF($N$3:N16,"狗")=0,10^9,LOOKUP(2,1/($N$3:N16="狗"),ROW($N$3:N16))),IF(COUNTIF($N$3:N16,"猪")=0,10^9,LOOKUP(2,1/($N$3:N16="猪"),ROW($N$3:N16))))-ROW($N$3)+1),""))),0,IF(ISNUMBER(J16),J16+1,1)))</f>
        <v>6</v>
      </c>
      <c r="K17" s="5">
        <f t="shared" si="6"/>
        <v>8</v>
      </c>
      <c r="M17" s="6" t="str">
        <f t="shared" si="1"/>
        <v>1</v>
      </c>
      <c r="N17" s="2" t="str">
        <f t="shared" si="2"/>
        <v>鼠</v>
      </c>
      <c r="O17" s="7" t="str">
        <f>IF(M17="","",IF(COUNTIF(M18:$M$1000,M17)&gt;0,"",M17))</f>
        <v/>
      </c>
      <c r="P17" s="8" t="str">
        <f>IF(N17="","",IF(COUNTIF(N18:$N$1000,N17)&gt;0,"",N17))</f>
        <v/>
      </c>
      <c r="Q17" s="21">
        <f t="shared" si="3"/>
        <v>112</v>
      </c>
      <c r="R17" s="22" t="str">
        <f t="shared" si="4"/>
        <v>兔</v>
      </c>
      <c r="X17" s="2">
        <v>28</v>
      </c>
      <c r="Y17" s="2" t="s">
        <v>21</v>
      </c>
    </row>
    <row r="18" s="1" customFormat="1" spans="1:25">
      <c r="A18" s="2">
        <v>115056653</v>
      </c>
      <c r="B18" s="2">
        <v>11</v>
      </c>
      <c r="C18" s="2">
        <v>6</v>
      </c>
      <c r="D18" s="2">
        <v>30</v>
      </c>
      <c r="E18" s="2">
        <v>39</v>
      </c>
      <c r="F18" s="2">
        <v>43</v>
      </c>
      <c r="G18" s="2">
        <v>13</v>
      </c>
      <c r="H18" s="3">
        <v>49</v>
      </c>
      <c r="I18" s="2" t="str">
        <f t="shared" si="0"/>
        <v>马</v>
      </c>
      <c r="J18" s="4">
        <f>IF(H18="","",IF(OR(AND(M18&lt;&gt;"",M18=IFERROR(INDEX($M$3:M17,MIN(IF(COUNTIF($M$3:M17,"0")=0,10^9,LOOKUP(2,1/($M$3:M17="0"),ROW($M$3:M17))),IF(COUNTIF($M$3:M17,"1")=0,10^9,LOOKUP(2,1/($M$3:M17="1"),ROW($M$3:M17))),IF(COUNTIF($M$3:M17,"2")=0,10^9,LOOKUP(2,1/($M$3:M17="2"),ROW($M$3:M17))),IF(COUNTIF($M$3:M17,"3")=0,10^9,LOOKUP(2,1/($M$3:M17="3"),ROW($M$3:M17))),IF(COUNTIF($M$3:M17,"4")=0,10^9,LOOKUP(2,1/($M$3:M17="4"),ROW($M$3:M17))),IF(COUNTIF($M$3:M17,"5")=0,10^9,LOOKUP(2,1/($M$3:M17="5"),ROW($M$3:M17))),IF(COUNTIF($M$3:M17,"6")=0,10^9,LOOKUP(2,1/($M$3:M17="6"),ROW($M$3:M17))),IF(COUNTIF($M$3:M17,"7")=0,10^9,LOOKUP(2,1/($M$3:M17="7"),ROW($M$3:M17))),IF(COUNTIF($M$3:M17,"8")=0,10^9,LOOKUP(2,1/($M$3:M17="8"),ROW($M$3:M17))),IF(COUNTIF($M$3:M17,"9")=0,10^9,LOOKUP(2,1/($M$3:M17="9"),ROW($M$3:M17))))-ROW($M$3)+1),"")),AND(N18&lt;&gt;"",N18=IFERROR(INDEX($N$3:N17,MIN(IF(COUNTIF($N$3:N17,"鼠")=0,10^9,LOOKUP(2,1/($N$3:N17="鼠"),ROW($N$3:N17))),IF(COUNTIF($N$3:N17,"牛")=0,10^9,LOOKUP(2,1/($N$3:N17="牛"),ROW($N$3:N17))),IF(COUNTIF($N$3:N17,"虎")=0,10^9,LOOKUP(2,1/($N$3:N17="虎"),ROW($N$3:N17))),IF(COUNTIF($N$3:N17,"兔")=0,10^9,LOOKUP(2,1/($N$3:N17="兔"),ROW($N$3:N17))),IF(COUNTIF($N$3:N17,"龙")=0,10^9,LOOKUP(2,1/($N$3:N17="龙"),ROW($N$3:N17))),IF(COUNTIF($N$3:N17,"蛇")=0,10^9,LOOKUP(2,1/($N$3:N17="蛇"),ROW($N$3:N17))),IF(COUNTIF($N$3:N17,"马")=0,10^9,LOOKUP(2,1/($N$3:N17="马"),ROW($N$3:N17))),IF(COUNTIF($N$3:N17,"羊")=0,10^9,LOOKUP(2,1/($N$3:N17="羊"),ROW($N$3:N17))),IF(COUNTIF($N$3:N17,"猴")=0,10^9,LOOKUP(2,1/($N$3:N17="猴"),ROW($N$3:N17))),IF(COUNTIF($N$3:N17,"鸡")=0,10^9,LOOKUP(2,1/($N$3:N17="鸡"),ROW($N$3:N17))),IF(COUNTIF($N$3:N17,"狗")=0,10^9,LOOKUP(2,1/($N$3:N17="狗"),ROW($N$3:N17))),IF(COUNTIF($N$3:N17,"猪")=0,10^9,LOOKUP(2,1/($N$3:N17="猪"),ROW($N$3:N17))))-ROW($N$3)+1),""))),0,IF(ISNUMBER(J17),J17+1,1)))</f>
        <v>7</v>
      </c>
      <c r="K18" s="5">
        <f t="shared" si="6"/>
        <v>9</v>
      </c>
      <c r="M18" s="6" t="str">
        <f t="shared" si="1"/>
        <v>9</v>
      </c>
      <c r="N18" s="2" t="str">
        <f t="shared" si="2"/>
        <v>马</v>
      </c>
      <c r="O18" s="7" t="str">
        <f>IF(M18="","",IF(COUNTIF(M19:$M$1000,M18)&gt;0,"",M18))</f>
        <v/>
      </c>
      <c r="P18" s="8" t="str">
        <f>IF(N18="","",IF(COUNTIF(N19:$N$1000,N18)&gt;0,"",N18))</f>
        <v/>
      </c>
      <c r="Q18" s="21">
        <f t="shared" si="3"/>
        <v>94</v>
      </c>
      <c r="R18" s="22" t="str">
        <f t="shared" si="4"/>
        <v>鸡</v>
      </c>
      <c r="X18" s="2">
        <v>40</v>
      </c>
      <c r="Y18" s="2" t="s">
        <v>21</v>
      </c>
    </row>
    <row r="19" s="1" customFormat="1" spans="1:25">
      <c r="A19" s="2">
        <v>115056654</v>
      </c>
      <c r="B19" s="2">
        <v>31</v>
      </c>
      <c r="C19" s="2">
        <v>43</v>
      </c>
      <c r="D19" s="2">
        <v>45</v>
      </c>
      <c r="E19" s="2">
        <v>47</v>
      </c>
      <c r="F19" s="2">
        <v>46</v>
      </c>
      <c r="G19" s="2">
        <v>48</v>
      </c>
      <c r="H19" s="3">
        <v>27</v>
      </c>
      <c r="I19" s="2" t="str">
        <f t="shared" si="0"/>
        <v>龙</v>
      </c>
      <c r="J19" s="4">
        <f>IF(H19="","",IF(OR(AND(M19&lt;&gt;"",M19=IFERROR(INDEX($M$3:M18,MIN(IF(COUNTIF($M$3:M18,"0")=0,10^9,LOOKUP(2,1/($M$3:M18="0"),ROW($M$3:M18))),IF(COUNTIF($M$3:M18,"1")=0,10^9,LOOKUP(2,1/($M$3:M18="1"),ROW($M$3:M18))),IF(COUNTIF($M$3:M18,"2")=0,10^9,LOOKUP(2,1/($M$3:M18="2"),ROW($M$3:M18))),IF(COUNTIF($M$3:M18,"3")=0,10^9,LOOKUP(2,1/($M$3:M18="3"),ROW($M$3:M18))),IF(COUNTIF($M$3:M18,"4")=0,10^9,LOOKUP(2,1/($M$3:M18="4"),ROW($M$3:M18))),IF(COUNTIF($M$3:M18,"5")=0,10^9,LOOKUP(2,1/($M$3:M18="5"),ROW($M$3:M18))),IF(COUNTIF($M$3:M18,"6")=0,10^9,LOOKUP(2,1/($M$3:M18="6"),ROW($M$3:M18))),IF(COUNTIF($M$3:M18,"7")=0,10^9,LOOKUP(2,1/($M$3:M18="7"),ROW($M$3:M18))),IF(COUNTIF($M$3:M18,"8")=0,10^9,LOOKUP(2,1/($M$3:M18="8"),ROW($M$3:M18))),IF(COUNTIF($M$3:M18,"9")=0,10^9,LOOKUP(2,1/($M$3:M18="9"),ROW($M$3:M18))))-ROW($M$3)+1),"")),AND(N19&lt;&gt;"",N19=IFERROR(INDEX($N$3:N18,MIN(IF(COUNTIF($N$3:N18,"鼠")=0,10^9,LOOKUP(2,1/($N$3:N18="鼠"),ROW($N$3:N18))),IF(COUNTIF($N$3:N18,"牛")=0,10^9,LOOKUP(2,1/($N$3:N18="牛"),ROW($N$3:N18))),IF(COUNTIF($N$3:N18,"虎")=0,10^9,LOOKUP(2,1/($N$3:N18="虎"),ROW($N$3:N18))),IF(COUNTIF($N$3:N18,"兔")=0,10^9,LOOKUP(2,1/($N$3:N18="兔"),ROW($N$3:N18))),IF(COUNTIF($N$3:N18,"龙")=0,10^9,LOOKUP(2,1/($N$3:N18="龙"),ROW($N$3:N18))),IF(COUNTIF($N$3:N18,"蛇")=0,10^9,LOOKUP(2,1/($N$3:N18="蛇"),ROW($N$3:N18))),IF(COUNTIF($N$3:N18,"马")=0,10^9,LOOKUP(2,1/($N$3:N18="马"),ROW($N$3:N18))),IF(COUNTIF($N$3:N18,"羊")=0,10^9,LOOKUP(2,1/($N$3:N18="羊"),ROW($N$3:N18))),IF(COUNTIF($N$3:N18,"猴")=0,10^9,LOOKUP(2,1/($N$3:N18="猴"),ROW($N$3:N18))),IF(COUNTIF($N$3:N18,"鸡")=0,10^9,LOOKUP(2,1/($N$3:N18="鸡"),ROW($N$3:N18))),IF(COUNTIF($N$3:N18,"狗")=0,10^9,LOOKUP(2,1/($N$3:N18="狗"),ROW($N$3:N18))),IF(COUNTIF($N$3:N18,"猪")=0,10^9,LOOKUP(2,1/($N$3:N18="猪"),ROW($N$3:N18))))-ROW($N$3)+1),""))),0,IF(ISNUMBER(J18),J18+1,1)))</f>
        <v>8</v>
      </c>
      <c r="K19" s="5">
        <f t="shared" si="6"/>
        <v>10</v>
      </c>
      <c r="M19" s="6" t="str">
        <f t="shared" si="1"/>
        <v>7</v>
      </c>
      <c r="N19" s="2" t="str">
        <f t="shared" si="2"/>
        <v>龙</v>
      </c>
      <c r="O19" s="7" t="str">
        <f>IF(M19="","",IF(COUNTIF(M20:$M$1000,M19)&gt;0,"",M19))</f>
        <v/>
      </c>
      <c r="P19" s="8" t="str">
        <f>IF(N19="","",IF(COUNTIF(N20:$N$1000,N19)&gt;0,"",N19))</f>
        <v/>
      </c>
      <c r="Q19" s="21">
        <f t="shared" si="3"/>
        <v>120</v>
      </c>
      <c r="R19" s="22" t="str">
        <f t="shared" si="4"/>
        <v>羊</v>
      </c>
      <c r="X19" s="2">
        <v>3</v>
      </c>
      <c r="Y19" s="2" t="s">
        <v>22</v>
      </c>
    </row>
    <row r="20" s="1" customFormat="1" spans="1:25">
      <c r="A20" s="2">
        <v>115056655</v>
      </c>
      <c r="B20" s="2">
        <v>16</v>
      </c>
      <c r="C20" s="2">
        <v>13</v>
      </c>
      <c r="D20" s="2">
        <v>31</v>
      </c>
      <c r="E20" s="2">
        <v>39</v>
      </c>
      <c r="F20" s="2">
        <v>15</v>
      </c>
      <c r="G20" s="2">
        <v>34</v>
      </c>
      <c r="H20" s="3">
        <v>9</v>
      </c>
      <c r="I20" s="2" t="str">
        <f t="shared" si="0"/>
        <v>狗</v>
      </c>
      <c r="J20" s="4">
        <f>IF(H20="","",IF(OR(AND(M20&lt;&gt;"",M20=IFERROR(INDEX($M$3:M19,MIN(IF(COUNTIF($M$3:M19,"0")=0,10^9,LOOKUP(2,1/($M$3:M19="0"),ROW($M$3:M19))),IF(COUNTIF($M$3:M19,"1")=0,10^9,LOOKUP(2,1/($M$3:M19="1"),ROW($M$3:M19))),IF(COUNTIF($M$3:M19,"2")=0,10^9,LOOKUP(2,1/($M$3:M19="2"),ROW($M$3:M19))),IF(COUNTIF($M$3:M19,"3")=0,10^9,LOOKUP(2,1/($M$3:M19="3"),ROW($M$3:M19))),IF(COUNTIF($M$3:M19,"4")=0,10^9,LOOKUP(2,1/($M$3:M19="4"),ROW($M$3:M19))),IF(COUNTIF($M$3:M19,"5")=0,10^9,LOOKUP(2,1/($M$3:M19="5"),ROW($M$3:M19))),IF(COUNTIF($M$3:M19,"6")=0,10^9,LOOKUP(2,1/($M$3:M19="6"),ROW($M$3:M19))),IF(COUNTIF($M$3:M19,"7")=0,10^9,LOOKUP(2,1/($M$3:M19="7"),ROW($M$3:M19))),IF(COUNTIF($M$3:M19,"8")=0,10^9,LOOKUP(2,1/($M$3:M19="8"),ROW($M$3:M19))),IF(COUNTIF($M$3:M19,"9")=0,10^9,LOOKUP(2,1/($M$3:M19="9"),ROW($M$3:M19))))-ROW($M$3)+1),"")),AND(N20&lt;&gt;"",N20=IFERROR(INDEX($N$3:N19,MIN(IF(COUNTIF($N$3:N19,"鼠")=0,10^9,LOOKUP(2,1/($N$3:N19="鼠"),ROW($N$3:N19))),IF(COUNTIF($N$3:N19,"牛")=0,10^9,LOOKUP(2,1/($N$3:N19="牛"),ROW($N$3:N19))),IF(COUNTIF($N$3:N19,"虎")=0,10^9,LOOKUP(2,1/($N$3:N19="虎"),ROW($N$3:N19))),IF(COUNTIF($N$3:N19,"兔")=0,10^9,LOOKUP(2,1/($N$3:N19="兔"),ROW($N$3:N19))),IF(COUNTIF($N$3:N19,"龙")=0,10^9,LOOKUP(2,1/($N$3:N19="龙"),ROW($N$3:N19))),IF(COUNTIF($N$3:N19,"蛇")=0,10^9,LOOKUP(2,1/($N$3:N19="蛇"),ROW($N$3:N19))),IF(COUNTIF($N$3:N19,"马")=0,10^9,LOOKUP(2,1/($N$3:N19="马"),ROW($N$3:N19))),IF(COUNTIF($N$3:N19,"羊")=0,10^9,LOOKUP(2,1/($N$3:N19="羊"),ROW($N$3:N19))),IF(COUNTIF($N$3:N19,"猴")=0,10^9,LOOKUP(2,1/($N$3:N19="猴"),ROW($N$3:N19))),IF(COUNTIF($N$3:N19,"鸡")=0,10^9,LOOKUP(2,1/($N$3:N19="鸡"),ROW($N$3:N19))),IF(COUNTIF($N$3:N19,"狗")=0,10^9,LOOKUP(2,1/($N$3:N19="狗"),ROW($N$3:N19))),IF(COUNTIF($N$3:N19,"猪")=0,10^9,LOOKUP(2,1/($N$3:N19="猪"),ROW($N$3:N19))))-ROW($N$3)+1),""))),0,IF(ISNUMBER(J19),J19+1,1)))</f>
        <v>9</v>
      </c>
      <c r="K20" s="5">
        <f t="shared" si="6"/>
        <v>11</v>
      </c>
      <c r="M20" s="6" t="str">
        <f t="shared" si="1"/>
        <v>9</v>
      </c>
      <c r="N20" s="2" t="str">
        <f t="shared" si="2"/>
        <v>狗</v>
      </c>
      <c r="O20" s="7" t="str">
        <f>IF(M20="","",IF(COUNTIF(M21:$M$1000,M20)&gt;0,"",M20))</f>
        <v/>
      </c>
      <c r="P20" s="8" t="str">
        <f>IF(N20="","",IF(COUNTIF(N21:$N$1000,N20)&gt;0,"",N20))</f>
        <v/>
      </c>
      <c r="Q20" s="21">
        <f t="shared" si="3"/>
        <v>101</v>
      </c>
      <c r="R20" s="22" t="str">
        <f t="shared" si="4"/>
        <v>虎</v>
      </c>
      <c r="X20" s="2">
        <v>15</v>
      </c>
      <c r="Y20" s="2" t="s">
        <v>22</v>
      </c>
    </row>
    <row r="21" s="1" customFormat="1" spans="1:25">
      <c r="A21" s="2">
        <v>115056656</v>
      </c>
      <c r="B21" s="2">
        <v>26</v>
      </c>
      <c r="C21" s="2">
        <v>29</v>
      </c>
      <c r="D21" s="2">
        <v>40</v>
      </c>
      <c r="E21" s="2">
        <v>27</v>
      </c>
      <c r="F21" s="2">
        <v>19</v>
      </c>
      <c r="G21" s="2">
        <v>11</v>
      </c>
      <c r="H21" s="3">
        <v>33</v>
      </c>
      <c r="I21" s="2" t="str">
        <f t="shared" si="0"/>
        <v>狗</v>
      </c>
      <c r="J21" s="4">
        <f>IF(H21="","",IF(OR(AND(M21&lt;&gt;"",M21=IFERROR(INDEX($M$3:M20,MIN(IF(COUNTIF($M$3:M20,"0")=0,10^9,LOOKUP(2,1/($M$3:M20="0"),ROW($M$3:M20))),IF(COUNTIF($M$3:M20,"1")=0,10^9,LOOKUP(2,1/($M$3:M20="1"),ROW($M$3:M20))),IF(COUNTIF($M$3:M20,"2")=0,10^9,LOOKUP(2,1/($M$3:M20="2"),ROW($M$3:M20))),IF(COUNTIF($M$3:M20,"3")=0,10^9,LOOKUP(2,1/($M$3:M20="3"),ROW($M$3:M20))),IF(COUNTIF($M$3:M20,"4")=0,10^9,LOOKUP(2,1/($M$3:M20="4"),ROW($M$3:M20))),IF(COUNTIF($M$3:M20,"5")=0,10^9,LOOKUP(2,1/($M$3:M20="5"),ROW($M$3:M20))),IF(COUNTIF($M$3:M20,"6")=0,10^9,LOOKUP(2,1/($M$3:M20="6"),ROW($M$3:M20))),IF(COUNTIF($M$3:M20,"7")=0,10^9,LOOKUP(2,1/($M$3:M20="7"),ROW($M$3:M20))),IF(COUNTIF($M$3:M20,"8")=0,10^9,LOOKUP(2,1/($M$3:M20="8"),ROW($M$3:M20))),IF(COUNTIF($M$3:M20,"9")=0,10^9,LOOKUP(2,1/($M$3:M20="9"),ROW($M$3:M20))))-ROW($M$3)+1),"")),AND(N21&lt;&gt;"",N21=IFERROR(INDEX($N$3:N20,MIN(IF(COUNTIF($N$3:N20,"鼠")=0,10^9,LOOKUP(2,1/($N$3:N20="鼠"),ROW($N$3:N20))),IF(COUNTIF($N$3:N20,"牛")=0,10^9,LOOKUP(2,1/($N$3:N20="牛"),ROW($N$3:N20))),IF(COUNTIF($N$3:N20,"虎")=0,10^9,LOOKUP(2,1/($N$3:N20="虎"),ROW($N$3:N20))),IF(COUNTIF($N$3:N20,"兔")=0,10^9,LOOKUP(2,1/($N$3:N20="兔"),ROW($N$3:N20))),IF(COUNTIF($N$3:N20,"龙")=0,10^9,LOOKUP(2,1/($N$3:N20="龙"),ROW($N$3:N20))),IF(COUNTIF($N$3:N20,"蛇")=0,10^9,LOOKUP(2,1/($N$3:N20="蛇"),ROW($N$3:N20))),IF(COUNTIF($N$3:N20,"马")=0,10^9,LOOKUP(2,1/($N$3:N20="马"),ROW($N$3:N20))),IF(COUNTIF($N$3:N20,"羊")=0,10^9,LOOKUP(2,1/($N$3:N20="羊"),ROW($N$3:N20))),IF(COUNTIF($N$3:N20,"猴")=0,10^9,LOOKUP(2,1/($N$3:N20="猴"),ROW($N$3:N20))),IF(COUNTIF($N$3:N20,"鸡")=0,10^9,LOOKUP(2,1/($N$3:N20="鸡"),ROW($N$3:N20))),IF(COUNTIF($N$3:N20,"狗")=0,10^9,LOOKUP(2,1/($N$3:N20="狗"),ROW($N$3:N20))),IF(COUNTIF($N$3:N20,"猪")=0,10^9,LOOKUP(2,1/($N$3:N20="猪"),ROW($N$3:N20))))-ROW($N$3)+1),""))),0,IF(ISNUMBER(J20),J20+1,1)))</f>
        <v>0</v>
      </c>
      <c r="K21" s="5">
        <f t="shared" si="6"/>
        <v>12</v>
      </c>
      <c r="M21" s="6" t="str">
        <f t="shared" si="1"/>
        <v>3</v>
      </c>
      <c r="N21" s="2" t="str">
        <f t="shared" si="2"/>
        <v>狗</v>
      </c>
      <c r="O21" s="7" t="str">
        <f>IF(M21="","",IF(COUNTIF(M22:$M$1000,M21)&gt;0,"",M21))</f>
        <v/>
      </c>
      <c r="P21" s="8" t="str">
        <f>IF(N21="","",IF(COUNTIF(N22:$N$1000,N21)&gt;0,"",N21))</f>
        <v/>
      </c>
      <c r="Q21" s="21">
        <f t="shared" si="3"/>
        <v>83</v>
      </c>
      <c r="R21" s="22" t="str">
        <f t="shared" si="4"/>
        <v>猴</v>
      </c>
      <c r="X21" s="2">
        <v>27</v>
      </c>
      <c r="Y21" s="2" t="s">
        <v>22</v>
      </c>
    </row>
    <row r="22" s="1" customFormat="1" spans="1:25">
      <c r="A22" s="2">
        <v>115056657</v>
      </c>
      <c r="B22" s="2">
        <v>29</v>
      </c>
      <c r="C22" s="2">
        <v>38</v>
      </c>
      <c r="D22" s="2">
        <v>24</v>
      </c>
      <c r="E22" s="2">
        <v>23</v>
      </c>
      <c r="F22" s="2">
        <v>19</v>
      </c>
      <c r="G22" s="2">
        <v>32</v>
      </c>
      <c r="H22" s="3">
        <v>11</v>
      </c>
      <c r="I22" s="2" t="str">
        <f t="shared" si="0"/>
        <v>猴</v>
      </c>
      <c r="J22" s="4">
        <f>IF(H22="","",IF(OR(AND(M22&lt;&gt;"",M22=IFERROR(INDEX($M$3:M21,MIN(IF(COUNTIF($M$3:M21,"0")=0,10^9,LOOKUP(2,1/($M$3:M21="0"),ROW($M$3:M21))),IF(COUNTIF($M$3:M21,"1")=0,10^9,LOOKUP(2,1/($M$3:M21="1"),ROW($M$3:M21))),IF(COUNTIF($M$3:M21,"2")=0,10^9,LOOKUP(2,1/($M$3:M21="2"),ROW($M$3:M21))),IF(COUNTIF($M$3:M21,"3")=0,10^9,LOOKUP(2,1/($M$3:M21="3"),ROW($M$3:M21))),IF(COUNTIF($M$3:M21,"4")=0,10^9,LOOKUP(2,1/($M$3:M21="4"),ROW($M$3:M21))),IF(COUNTIF($M$3:M21,"5")=0,10^9,LOOKUP(2,1/($M$3:M21="5"),ROW($M$3:M21))),IF(COUNTIF($M$3:M21,"6")=0,10^9,LOOKUP(2,1/($M$3:M21="6"),ROW($M$3:M21))),IF(COUNTIF($M$3:M21,"7")=0,10^9,LOOKUP(2,1/($M$3:M21="7"),ROW($M$3:M21))),IF(COUNTIF($M$3:M21,"8")=0,10^9,LOOKUP(2,1/($M$3:M21="8"),ROW($M$3:M21))),IF(COUNTIF($M$3:M21,"9")=0,10^9,LOOKUP(2,1/($M$3:M21="9"),ROW($M$3:M21))))-ROW($M$3)+1),"")),AND(N22&lt;&gt;"",N22=IFERROR(INDEX($N$3:N21,MIN(IF(COUNTIF($N$3:N21,"鼠")=0,10^9,LOOKUP(2,1/($N$3:N21="鼠"),ROW($N$3:N21))),IF(COUNTIF($N$3:N21,"牛")=0,10^9,LOOKUP(2,1/($N$3:N21="牛"),ROW($N$3:N21))),IF(COUNTIF($N$3:N21,"虎")=0,10^9,LOOKUP(2,1/($N$3:N21="虎"),ROW($N$3:N21))),IF(COUNTIF($N$3:N21,"兔")=0,10^9,LOOKUP(2,1/($N$3:N21="兔"),ROW($N$3:N21))),IF(COUNTIF($N$3:N21,"龙")=0,10^9,LOOKUP(2,1/($N$3:N21="龙"),ROW($N$3:N21))),IF(COUNTIF($N$3:N21,"蛇")=0,10^9,LOOKUP(2,1/($N$3:N21="蛇"),ROW($N$3:N21))),IF(COUNTIF($N$3:N21,"马")=0,10^9,LOOKUP(2,1/($N$3:N21="马"),ROW($N$3:N21))),IF(COUNTIF($N$3:N21,"羊")=0,10^9,LOOKUP(2,1/($N$3:N21="羊"),ROW($N$3:N21))),IF(COUNTIF($N$3:N21,"猴")=0,10^9,LOOKUP(2,1/($N$3:N21="猴"),ROW($N$3:N21))),IF(COUNTIF($N$3:N21,"鸡")=0,10^9,LOOKUP(2,1/($N$3:N21="鸡"),ROW($N$3:N21))),IF(COUNTIF($N$3:N21,"狗")=0,10^9,LOOKUP(2,1/($N$3:N21="狗"),ROW($N$3:N21))),IF(COUNTIF($N$3:N21,"猪")=0,10^9,LOOKUP(2,1/($N$3:N21="猪"),ROW($N$3:N21))))-ROW($N$3)+1),""))),0,IF(ISNUMBER(J21),J21+1,1)))</f>
        <v>1</v>
      </c>
      <c r="K22" s="5">
        <f t="shared" si="6"/>
        <v>0</v>
      </c>
      <c r="M22" s="6" t="str">
        <f t="shared" si="1"/>
        <v>1</v>
      </c>
      <c r="N22" s="2" t="str">
        <f t="shared" si="2"/>
        <v>猴</v>
      </c>
      <c r="O22" s="7" t="str">
        <f>IF(M22="","",IF(COUNTIF(M23:$M$1000,M22)&gt;0,"",M22))</f>
        <v/>
      </c>
      <c r="P22" s="8" t="str">
        <f>IF(N22="","",IF(COUNTIF(N23:$N$1000,N22)&gt;0,"",N22))</f>
        <v/>
      </c>
      <c r="Q22" s="21">
        <f t="shared" si="3"/>
        <v>94</v>
      </c>
      <c r="R22" s="22" t="str">
        <f t="shared" si="4"/>
        <v>鸡</v>
      </c>
      <c r="X22" s="2">
        <v>39</v>
      </c>
      <c r="Y22" s="2" t="s">
        <v>22</v>
      </c>
    </row>
    <row r="23" s="1" customFormat="1" spans="1:25">
      <c r="A23" s="2">
        <v>115056658</v>
      </c>
      <c r="B23" s="2">
        <v>11</v>
      </c>
      <c r="C23" s="2">
        <v>9</v>
      </c>
      <c r="D23" s="2">
        <v>21</v>
      </c>
      <c r="E23" s="2">
        <v>34</v>
      </c>
      <c r="F23" s="2">
        <v>42</v>
      </c>
      <c r="G23" s="2">
        <v>46</v>
      </c>
      <c r="H23" s="3">
        <v>8</v>
      </c>
      <c r="I23" s="2" t="str">
        <f t="shared" si="0"/>
        <v>猪</v>
      </c>
      <c r="J23" s="4">
        <f>IF(H23="","",IF(OR(AND(M23&lt;&gt;"",M23=IFERROR(INDEX($M$3:M22,MIN(IF(COUNTIF($M$3:M22,"0")=0,10^9,LOOKUP(2,1/($M$3:M22="0"),ROW($M$3:M22))),IF(COUNTIF($M$3:M22,"1")=0,10^9,LOOKUP(2,1/($M$3:M22="1"),ROW($M$3:M22))),IF(COUNTIF($M$3:M22,"2")=0,10^9,LOOKUP(2,1/($M$3:M22="2"),ROW($M$3:M22))),IF(COUNTIF($M$3:M22,"3")=0,10^9,LOOKUP(2,1/($M$3:M22="3"),ROW($M$3:M22))),IF(COUNTIF($M$3:M22,"4")=0,10^9,LOOKUP(2,1/($M$3:M22="4"),ROW($M$3:M22))),IF(COUNTIF($M$3:M22,"5")=0,10^9,LOOKUP(2,1/($M$3:M22="5"),ROW($M$3:M22))),IF(COUNTIF($M$3:M22,"6")=0,10^9,LOOKUP(2,1/($M$3:M22="6"),ROW($M$3:M22))),IF(COUNTIF($M$3:M22,"7")=0,10^9,LOOKUP(2,1/($M$3:M22="7"),ROW($M$3:M22))),IF(COUNTIF($M$3:M22,"8")=0,10^9,LOOKUP(2,1/($M$3:M22="8"),ROW($M$3:M22))),IF(COUNTIF($M$3:M22,"9")=0,10^9,LOOKUP(2,1/($M$3:M22="9"),ROW($M$3:M22))))-ROW($M$3)+1),"")),AND(N23&lt;&gt;"",N23=IFERROR(INDEX($N$3:N22,MIN(IF(COUNTIF($N$3:N22,"鼠")=0,10^9,LOOKUP(2,1/($N$3:N22="鼠"),ROW($N$3:N22))),IF(COUNTIF($N$3:N22,"牛")=0,10^9,LOOKUP(2,1/($N$3:N22="牛"),ROW($N$3:N22))),IF(COUNTIF($N$3:N22,"虎")=0,10^9,LOOKUP(2,1/($N$3:N22="虎"),ROW($N$3:N22))),IF(COUNTIF($N$3:N22,"兔")=0,10^9,LOOKUP(2,1/($N$3:N22="兔"),ROW($N$3:N22))),IF(COUNTIF($N$3:N22,"龙")=0,10^9,LOOKUP(2,1/($N$3:N22="龙"),ROW($N$3:N22))),IF(COUNTIF($N$3:N22,"蛇")=0,10^9,LOOKUP(2,1/($N$3:N22="蛇"),ROW($N$3:N22))),IF(COUNTIF($N$3:N22,"马")=0,10^9,LOOKUP(2,1/($N$3:N22="马"),ROW($N$3:N22))),IF(COUNTIF($N$3:N22,"羊")=0,10^9,LOOKUP(2,1/($N$3:N22="羊"),ROW($N$3:N22))),IF(COUNTIF($N$3:N22,"猴")=0,10^9,LOOKUP(2,1/($N$3:N22="猴"),ROW($N$3:N22))),IF(COUNTIF($N$3:N22,"鸡")=0,10^9,LOOKUP(2,1/($N$3:N22="鸡"),ROW($N$3:N22))),IF(COUNTIF($N$3:N22,"狗")=0,10^9,LOOKUP(2,1/($N$3:N22="狗"),ROW($N$3:N22))),IF(COUNTIF($N$3:N22,"猪")=0,10^9,LOOKUP(2,1/($N$3:N22="猪"),ROW($N$3:N22))))-ROW($N$3)+1),""))),0,IF(ISNUMBER(J22),J22+1,1)))</f>
        <v>0</v>
      </c>
      <c r="K23" s="5">
        <f t="shared" si="6"/>
        <v>1</v>
      </c>
      <c r="M23" s="6" t="str">
        <f t="shared" si="1"/>
        <v>8</v>
      </c>
      <c r="N23" s="2" t="str">
        <f t="shared" si="2"/>
        <v>猪</v>
      </c>
      <c r="O23" s="7" t="str">
        <f>IF(M23="","",IF(COUNTIF(M24:$M$1000,M23)&gt;0,"",M23))</f>
        <v/>
      </c>
      <c r="P23" s="8" t="str">
        <f>IF(N23="","",IF(COUNTIF(N24:$N$1000,N23)&gt;0,"",N23))</f>
        <v/>
      </c>
      <c r="Q23" s="21">
        <f t="shared" si="3"/>
        <v>108</v>
      </c>
      <c r="R23" s="22" t="str">
        <f t="shared" si="4"/>
        <v>羊</v>
      </c>
      <c r="X23" s="2">
        <v>2</v>
      </c>
      <c r="Y23" s="2" t="s">
        <v>23</v>
      </c>
    </row>
    <row r="24" s="1" customFormat="1" spans="1:25">
      <c r="A24" s="2">
        <v>115056659</v>
      </c>
      <c r="B24" s="2">
        <v>7</v>
      </c>
      <c r="C24" s="2">
        <v>43</v>
      </c>
      <c r="D24" s="2">
        <v>47</v>
      </c>
      <c r="E24" s="2">
        <v>11</v>
      </c>
      <c r="F24" s="2">
        <v>41</v>
      </c>
      <c r="G24" s="2">
        <v>40</v>
      </c>
      <c r="H24" s="3">
        <v>6</v>
      </c>
      <c r="I24" s="2" t="str">
        <f t="shared" si="0"/>
        <v>牛</v>
      </c>
      <c r="J24" s="4">
        <f>IF(H24="","",IF(OR(AND(M24&lt;&gt;"",M24=IFERROR(INDEX($M$3:M23,MIN(IF(COUNTIF($M$3:M23,"0")=0,10^9,LOOKUP(2,1/($M$3:M23="0"),ROW($M$3:M23))),IF(COUNTIF($M$3:M23,"1")=0,10^9,LOOKUP(2,1/($M$3:M23="1"),ROW($M$3:M23))),IF(COUNTIF($M$3:M23,"2")=0,10^9,LOOKUP(2,1/($M$3:M23="2"),ROW($M$3:M23))),IF(COUNTIF($M$3:M23,"3")=0,10^9,LOOKUP(2,1/($M$3:M23="3"),ROW($M$3:M23))),IF(COUNTIF($M$3:M23,"4")=0,10^9,LOOKUP(2,1/($M$3:M23="4"),ROW($M$3:M23))),IF(COUNTIF($M$3:M23,"5")=0,10^9,LOOKUP(2,1/($M$3:M23="5"),ROW($M$3:M23))),IF(COUNTIF($M$3:M23,"6")=0,10^9,LOOKUP(2,1/($M$3:M23="6"),ROW($M$3:M23))),IF(COUNTIF($M$3:M23,"7")=0,10^9,LOOKUP(2,1/($M$3:M23="7"),ROW($M$3:M23))),IF(COUNTIF($M$3:M23,"8")=0,10^9,LOOKUP(2,1/($M$3:M23="8"),ROW($M$3:M23))),IF(COUNTIF($M$3:M23,"9")=0,10^9,LOOKUP(2,1/($M$3:M23="9"),ROW($M$3:M23))))-ROW($M$3)+1),"")),AND(N24&lt;&gt;"",N24=IFERROR(INDEX($N$3:N23,MIN(IF(COUNTIF($N$3:N23,"鼠")=0,10^9,LOOKUP(2,1/($N$3:N23="鼠"),ROW($N$3:N23))),IF(COUNTIF($N$3:N23,"牛")=0,10^9,LOOKUP(2,1/($N$3:N23="牛"),ROW($N$3:N23))),IF(COUNTIF($N$3:N23,"虎")=0,10^9,LOOKUP(2,1/($N$3:N23="虎"),ROW($N$3:N23))),IF(COUNTIF($N$3:N23,"兔")=0,10^9,LOOKUP(2,1/($N$3:N23="兔"),ROW($N$3:N23))),IF(COUNTIF($N$3:N23,"龙")=0,10^9,LOOKUP(2,1/($N$3:N23="龙"),ROW($N$3:N23))),IF(COUNTIF($N$3:N23,"蛇")=0,10^9,LOOKUP(2,1/($N$3:N23="蛇"),ROW($N$3:N23))),IF(COUNTIF($N$3:N23,"马")=0,10^9,LOOKUP(2,1/($N$3:N23="马"),ROW($N$3:N23))),IF(COUNTIF($N$3:N23,"羊")=0,10^9,LOOKUP(2,1/($N$3:N23="羊"),ROW($N$3:N23))),IF(COUNTIF($N$3:N23,"猴")=0,10^9,LOOKUP(2,1/($N$3:N23="猴"),ROW($N$3:N23))),IF(COUNTIF($N$3:N23,"鸡")=0,10^9,LOOKUP(2,1/($N$3:N23="鸡"),ROW($N$3:N23))),IF(COUNTIF($N$3:N23,"狗")=0,10^9,LOOKUP(2,1/($N$3:N23="狗"),ROW($N$3:N23))),IF(COUNTIF($N$3:N23,"猪")=0,10^9,LOOKUP(2,1/($N$3:N23="猪"),ROW($N$3:N23))))-ROW($N$3)+1),""))),0,IF(ISNUMBER(J23),J23+1,1)))</f>
        <v>1</v>
      </c>
      <c r="K24" s="5">
        <f t="shared" si="6"/>
        <v>2</v>
      </c>
      <c r="M24" s="6" t="str">
        <f t="shared" si="1"/>
        <v>6</v>
      </c>
      <c r="N24" s="2" t="str">
        <f t="shared" si="2"/>
        <v>牛</v>
      </c>
      <c r="O24" s="7" t="str">
        <f>IF(M24="","",IF(COUNTIF(M25:$M$1000,M24)&gt;0,"",M24))</f>
        <v/>
      </c>
      <c r="P24" s="8" t="str">
        <f>IF(N24="","",IF(COUNTIF(N25:$N$1000,N24)&gt;0,"",N24))</f>
        <v>牛</v>
      </c>
      <c r="Q24" s="21">
        <f t="shared" si="3"/>
        <v>119</v>
      </c>
      <c r="R24" s="22" t="str">
        <f t="shared" si="4"/>
        <v>猴</v>
      </c>
      <c r="X24" s="2">
        <v>14</v>
      </c>
      <c r="Y24" s="2" t="s">
        <v>23</v>
      </c>
    </row>
    <row r="25" s="1" customFormat="1" spans="1:25">
      <c r="A25" s="2">
        <v>115056660</v>
      </c>
      <c r="B25" s="2">
        <v>39</v>
      </c>
      <c r="C25" s="2">
        <v>29</v>
      </c>
      <c r="D25" s="2">
        <v>6</v>
      </c>
      <c r="E25" s="2">
        <v>19</v>
      </c>
      <c r="F25" s="2">
        <v>8</v>
      </c>
      <c r="G25" s="2">
        <v>22</v>
      </c>
      <c r="H25" s="3">
        <v>26</v>
      </c>
      <c r="I25" s="2" t="str">
        <f t="shared" si="0"/>
        <v>蛇</v>
      </c>
      <c r="J25" s="4">
        <f>IF(H25="","",IF(OR(AND(M25&lt;&gt;"",M25=IFERROR(INDEX($M$3:M24,MIN(IF(COUNTIF($M$3:M24,"0")=0,10^9,LOOKUP(2,1/($M$3:M24="0"),ROW($M$3:M24))),IF(COUNTIF($M$3:M24,"1")=0,10^9,LOOKUP(2,1/($M$3:M24="1"),ROW($M$3:M24))),IF(COUNTIF($M$3:M24,"2")=0,10^9,LOOKUP(2,1/($M$3:M24="2"),ROW($M$3:M24))),IF(COUNTIF($M$3:M24,"3")=0,10^9,LOOKUP(2,1/($M$3:M24="3"),ROW($M$3:M24))),IF(COUNTIF($M$3:M24,"4")=0,10^9,LOOKUP(2,1/($M$3:M24="4"),ROW($M$3:M24))),IF(COUNTIF($M$3:M24,"5")=0,10^9,LOOKUP(2,1/($M$3:M24="5"),ROW($M$3:M24))),IF(COUNTIF($M$3:M24,"6")=0,10^9,LOOKUP(2,1/($M$3:M24="6"),ROW($M$3:M24))),IF(COUNTIF($M$3:M24,"7")=0,10^9,LOOKUP(2,1/($M$3:M24="7"),ROW($M$3:M24))),IF(COUNTIF($M$3:M24,"8")=0,10^9,LOOKUP(2,1/($M$3:M24="8"),ROW($M$3:M24))),IF(COUNTIF($M$3:M24,"9")=0,10^9,LOOKUP(2,1/($M$3:M24="9"),ROW($M$3:M24))))-ROW($M$3)+1),"")),AND(N25&lt;&gt;"",N25=IFERROR(INDEX($N$3:N24,MIN(IF(COUNTIF($N$3:N24,"鼠")=0,10^9,LOOKUP(2,1/($N$3:N24="鼠"),ROW($N$3:N24))),IF(COUNTIF($N$3:N24,"牛")=0,10^9,LOOKUP(2,1/($N$3:N24="牛"),ROW($N$3:N24))),IF(COUNTIF($N$3:N24,"虎")=0,10^9,LOOKUP(2,1/($N$3:N24="虎"),ROW($N$3:N24))),IF(COUNTIF($N$3:N24,"兔")=0,10^9,LOOKUP(2,1/($N$3:N24="兔"),ROW($N$3:N24))),IF(COUNTIF($N$3:N24,"龙")=0,10^9,LOOKUP(2,1/($N$3:N24="龙"),ROW($N$3:N24))),IF(COUNTIF($N$3:N24,"蛇")=0,10^9,LOOKUP(2,1/($N$3:N24="蛇"),ROW($N$3:N24))),IF(COUNTIF($N$3:N24,"马")=0,10^9,LOOKUP(2,1/($N$3:N24="马"),ROW($N$3:N24))),IF(COUNTIF($N$3:N24,"羊")=0,10^9,LOOKUP(2,1/($N$3:N24="羊"),ROW($N$3:N24))),IF(COUNTIF($N$3:N24,"猴")=0,10^9,LOOKUP(2,1/($N$3:N24="猴"),ROW($N$3:N24))),IF(COUNTIF($N$3:N24,"鸡")=0,10^9,LOOKUP(2,1/($N$3:N24="鸡"),ROW($N$3:N24))),IF(COUNTIF($N$3:N24,"狗")=0,10^9,LOOKUP(2,1/($N$3:N24="狗"),ROW($N$3:N24))),IF(COUNTIF($N$3:N24,"猪")=0,10^9,LOOKUP(2,1/($N$3:N24="猪"),ROW($N$3:N24))))-ROW($N$3)+1),""))),0,IF(ISNUMBER(J24),J24+1,1)))</f>
        <v>2</v>
      </c>
      <c r="K25" s="5">
        <f t="shared" si="6"/>
        <v>3</v>
      </c>
      <c r="M25" s="6" t="str">
        <f t="shared" si="1"/>
        <v>6</v>
      </c>
      <c r="N25" s="2" t="str">
        <f t="shared" si="2"/>
        <v>蛇</v>
      </c>
      <c r="O25" s="7" t="str">
        <f>IF(M25="","",IF(COUNTIF(M26:$M$1000,M25)&gt;0,"",M25))</f>
        <v/>
      </c>
      <c r="P25" s="8" t="str">
        <f>IF(N25="","",IF(COUNTIF(N26:$N$1000,N25)&gt;0,"",N25))</f>
        <v/>
      </c>
      <c r="Q25" s="21">
        <f t="shared" si="3"/>
        <v>85</v>
      </c>
      <c r="R25" s="22" t="str">
        <f t="shared" si="4"/>
        <v>马</v>
      </c>
      <c r="X25" s="2">
        <v>26</v>
      </c>
      <c r="Y25" s="2" t="s">
        <v>23</v>
      </c>
    </row>
    <row r="26" s="1" customFormat="1" spans="1:25">
      <c r="A26" s="2">
        <v>115056661</v>
      </c>
      <c r="B26" s="2">
        <v>45</v>
      </c>
      <c r="C26" s="2">
        <v>1</v>
      </c>
      <c r="D26" s="2">
        <v>47</v>
      </c>
      <c r="E26" s="2">
        <v>35</v>
      </c>
      <c r="F26" s="2">
        <v>21</v>
      </c>
      <c r="G26" s="2">
        <v>38</v>
      </c>
      <c r="H26" s="3">
        <v>20</v>
      </c>
      <c r="I26" s="2" t="str">
        <f t="shared" si="0"/>
        <v>猪</v>
      </c>
      <c r="J26" s="4">
        <f>IF(H26="","",IF(OR(AND(M26&lt;&gt;"",M26=IFERROR(INDEX($M$3:M25,MIN(IF(COUNTIF($M$3:M25,"0")=0,10^9,LOOKUP(2,1/($M$3:M25="0"),ROW($M$3:M25))),IF(COUNTIF($M$3:M25,"1")=0,10^9,LOOKUP(2,1/($M$3:M25="1"),ROW($M$3:M25))),IF(COUNTIF($M$3:M25,"2")=0,10^9,LOOKUP(2,1/($M$3:M25="2"),ROW($M$3:M25))),IF(COUNTIF($M$3:M25,"3")=0,10^9,LOOKUP(2,1/($M$3:M25="3"),ROW($M$3:M25))),IF(COUNTIF($M$3:M25,"4")=0,10^9,LOOKUP(2,1/($M$3:M25="4"),ROW($M$3:M25))),IF(COUNTIF($M$3:M25,"5")=0,10^9,LOOKUP(2,1/($M$3:M25="5"),ROW($M$3:M25))),IF(COUNTIF($M$3:M25,"6")=0,10^9,LOOKUP(2,1/($M$3:M25="6"),ROW($M$3:M25))),IF(COUNTIF($M$3:M25,"7")=0,10^9,LOOKUP(2,1/($M$3:M25="7"),ROW($M$3:M25))),IF(COUNTIF($M$3:M25,"8")=0,10^9,LOOKUP(2,1/($M$3:M25="8"),ROW($M$3:M25))),IF(COUNTIF($M$3:M25,"9")=0,10^9,LOOKUP(2,1/($M$3:M25="9"),ROW($M$3:M25))))-ROW($M$3)+1),"")),AND(N26&lt;&gt;"",N26=IFERROR(INDEX($N$3:N25,MIN(IF(COUNTIF($N$3:N25,"鼠")=0,10^9,LOOKUP(2,1/($N$3:N25="鼠"),ROW($N$3:N25))),IF(COUNTIF($N$3:N25,"牛")=0,10^9,LOOKUP(2,1/($N$3:N25="牛"),ROW($N$3:N25))),IF(COUNTIF($N$3:N25,"虎")=0,10^9,LOOKUP(2,1/($N$3:N25="虎"),ROW($N$3:N25))),IF(COUNTIF($N$3:N25,"兔")=0,10^9,LOOKUP(2,1/($N$3:N25="兔"),ROW($N$3:N25))),IF(COUNTIF($N$3:N25,"龙")=0,10^9,LOOKUP(2,1/($N$3:N25="龙"),ROW($N$3:N25))),IF(COUNTIF($N$3:N25,"蛇")=0,10^9,LOOKUP(2,1/($N$3:N25="蛇"),ROW($N$3:N25))),IF(COUNTIF($N$3:N25,"马")=0,10^9,LOOKUP(2,1/($N$3:N25="马"),ROW($N$3:N25))),IF(COUNTIF($N$3:N25,"羊")=0,10^9,LOOKUP(2,1/($N$3:N25="羊"),ROW($N$3:N25))),IF(COUNTIF($N$3:N25,"猴")=0,10^9,LOOKUP(2,1/($N$3:N25="猴"),ROW($N$3:N25))),IF(COUNTIF($N$3:N25,"鸡")=0,10^9,LOOKUP(2,1/($N$3:N25="鸡"),ROW($N$3:N25))),IF(COUNTIF($N$3:N25,"狗")=0,10^9,LOOKUP(2,1/($N$3:N25="狗"),ROW($N$3:N25))),IF(COUNTIF($N$3:N25,"猪")=0,10^9,LOOKUP(2,1/($N$3:N25="猪"),ROW($N$3:N25))))-ROW($N$3)+1),""))),0,IF(ISNUMBER(J25),J25+1,1)))</f>
        <v>0</v>
      </c>
      <c r="K26" s="5">
        <f t="shared" si="6"/>
        <v>4</v>
      </c>
      <c r="M26" s="6" t="str">
        <f t="shared" si="1"/>
        <v>0</v>
      </c>
      <c r="N26" s="2" t="str">
        <f t="shared" si="2"/>
        <v>猪</v>
      </c>
      <c r="O26" s="7" t="str">
        <f>IF(M26="","",IF(COUNTIF(M27:$M$1000,M26)&gt;0,"",M26))</f>
        <v/>
      </c>
      <c r="P26" s="8" t="str">
        <f>IF(N26="","",IF(COUNTIF(N27:$N$1000,N26)&gt;0,"",N26))</f>
        <v/>
      </c>
      <c r="Q26" s="21">
        <f t="shared" si="3"/>
        <v>117</v>
      </c>
      <c r="R26" s="22" t="str">
        <f t="shared" si="4"/>
        <v>狗</v>
      </c>
      <c r="X26" s="2">
        <v>38</v>
      </c>
      <c r="Y26" s="2" t="s">
        <v>23</v>
      </c>
    </row>
    <row r="27" s="1" customFormat="1" spans="1:25">
      <c r="A27" s="2">
        <v>115056662</v>
      </c>
      <c r="B27" s="2">
        <v>2</v>
      </c>
      <c r="C27" s="2">
        <v>48</v>
      </c>
      <c r="D27" s="2">
        <v>1</v>
      </c>
      <c r="E27" s="2">
        <v>14</v>
      </c>
      <c r="F27" s="2">
        <v>30</v>
      </c>
      <c r="G27" s="2">
        <v>32</v>
      </c>
      <c r="H27" s="3">
        <v>22</v>
      </c>
      <c r="I27" s="2" t="str">
        <f t="shared" si="0"/>
        <v>鸡</v>
      </c>
      <c r="J27" s="4">
        <f>IF(H27="","",IF(OR(AND(M27&lt;&gt;"",M27=IFERROR(INDEX($M$3:M26,MIN(IF(COUNTIF($M$3:M26,"0")=0,10^9,LOOKUP(2,1/($M$3:M26="0"),ROW($M$3:M26))),IF(COUNTIF($M$3:M26,"1")=0,10^9,LOOKUP(2,1/($M$3:M26="1"),ROW($M$3:M26))),IF(COUNTIF($M$3:M26,"2")=0,10^9,LOOKUP(2,1/($M$3:M26="2"),ROW($M$3:M26))),IF(COUNTIF($M$3:M26,"3")=0,10^9,LOOKUP(2,1/($M$3:M26="3"),ROW($M$3:M26))),IF(COUNTIF($M$3:M26,"4")=0,10^9,LOOKUP(2,1/($M$3:M26="4"),ROW($M$3:M26))),IF(COUNTIF($M$3:M26,"5")=0,10^9,LOOKUP(2,1/($M$3:M26="5"),ROW($M$3:M26))),IF(COUNTIF($M$3:M26,"6")=0,10^9,LOOKUP(2,1/($M$3:M26="6"),ROW($M$3:M26))),IF(COUNTIF($M$3:M26,"7")=0,10^9,LOOKUP(2,1/($M$3:M26="7"),ROW($M$3:M26))),IF(COUNTIF($M$3:M26,"8")=0,10^9,LOOKUP(2,1/($M$3:M26="8"),ROW($M$3:M26))),IF(COUNTIF($M$3:M26,"9")=0,10^9,LOOKUP(2,1/($M$3:M26="9"),ROW($M$3:M26))))-ROW($M$3)+1),"")),AND(N27&lt;&gt;"",N27=IFERROR(INDEX($N$3:N26,MIN(IF(COUNTIF($N$3:N26,"鼠")=0,10^9,LOOKUP(2,1/($N$3:N26="鼠"),ROW($N$3:N26))),IF(COUNTIF($N$3:N26,"牛")=0,10^9,LOOKUP(2,1/($N$3:N26="牛"),ROW($N$3:N26))),IF(COUNTIF($N$3:N26,"虎")=0,10^9,LOOKUP(2,1/($N$3:N26="虎"),ROW($N$3:N26))),IF(COUNTIF($N$3:N26,"兔")=0,10^9,LOOKUP(2,1/($N$3:N26="兔"),ROW($N$3:N26))),IF(COUNTIF($N$3:N26,"龙")=0,10^9,LOOKUP(2,1/($N$3:N26="龙"),ROW($N$3:N26))),IF(COUNTIF($N$3:N26,"蛇")=0,10^9,LOOKUP(2,1/($N$3:N26="蛇"),ROW($N$3:N26))),IF(COUNTIF($N$3:N26,"马")=0,10^9,LOOKUP(2,1/($N$3:N26="马"),ROW($N$3:N26))),IF(COUNTIF($N$3:N26,"羊")=0,10^9,LOOKUP(2,1/($N$3:N26="羊"),ROW($N$3:N26))),IF(COUNTIF($N$3:N26,"猴")=0,10^9,LOOKUP(2,1/($N$3:N26="猴"),ROW($N$3:N26))),IF(COUNTIF($N$3:N26,"鸡")=0,10^9,LOOKUP(2,1/($N$3:N26="鸡"),ROW($N$3:N26))),IF(COUNTIF($N$3:N26,"狗")=0,10^9,LOOKUP(2,1/($N$3:N26="狗"),ROW($N$3:N26))),IF(COUNTIF($N$3:N26,"猪")=0,10^9,LOOKUP(2,1/($N$3:N26="猪"),ROW($N$3:N26))))-ROW($N$3)+1),""))),0,IF(ISNUMBER(J26),J26+1,1)))</f>
        <v>0</v>
      </c>
      <c r="K27" s="5">
        <f t="shared" si="6"/>
        <v>5</v>
      </c>
      <c r="M27" s="6" t="str">
        <f t="shared" si="1"/>
        <v>2</v>
      </c>
      <c r="N27" s="2" t="str">
        <f t="shared" si="2"/>
        <v>鸡</v>
      </c>
      <c r="O27" s="7" t="str">
        <f>IF(M27="","",IF(COUNTIF(M28:$M$1000,M27)&gt;0,"",M27))</f>
        <v/>
      </c>
      <c r="P27" s="8" t="str">
        <f>IF(N27="","",IF(COUNTIF(N28:$N$1000,N27)&gt;0,"",N27))</f>
        <v/>
      </c>
      <c r="Q27" s="21">
        <f t="shared" si="3"/>
        <v>107</v>
      </c>
      <c r="R27" s="22" t="str">
        <f t="shared" si="4"/>
        <v>猴</v>
      </c>
      <c r="X27" s="2">
        <v>1</v>
      </c>
      <c r="Y27" s="2" t="s">
        <v>24</v>
      </c>
    </row>
    <row r="28" s="1" customFormat="1" spans="1:25">
      <c r="A28" s="2">
        <v>115056663</v>
      </c>
      <c r="B28" s="2">
        <v>28</v>
      </c>
      <c r="C28" s="2">
        <v>32</v>
      </c>
      <c r="D28" s="2">
        <v>15</v>
      </c>
      <c r="E28" s="2">
        <v>35</v>
      </c>
      <c r="F28" s="2">
        <v>33</v>
      </c>
      <c r="G28" s="2">
        <v>49</v>
      </c>
      <c r="H28" s="3">
        <v>8</v>
      </c>
      <c r="I28" s="2" t="str">
        <f t="shared" si="0"/>
        <v>猪</v>
      </c>
      <c r="J28" s="4">
        <f>IF(H28="","",IF(OR(AND(M28&lt;&gt;"",M28=IFERROR(INDEX($M$3:M27,MIN(IF(COUNTIF($M$3:M27,"0")=0,10^9,LOOKUP(2,1/($M$3:M27="0"),ROW($M$3:M27))),IF(COUNTIF($M$3:M27,"1")=0,10^9,LOOKUP(2,1/($M$3:M27="1"),ROW($M$3:M27))),IF(COUNTIF($M$3:M27,"2")=0,10^9,LOOKUP(2,1/($M$3:M27="2"),ROW($M$3:M27))),IF(COUNTIF($M$3:M27,"3")=0,10^9,LOOKUP(2,1/($M$3:M27="3"),ROW($M$3:M27))),IF(COUNTIF($M$3:M27,"4")=0,10^9,LOOKUP(2,1/($M$3:M27="4"),ROW($M$3:M27))),IF(COUNTIF($M$3:M27,"5")=0,10^9,LOOKUP(2,1/($M$3:M27="5"),ROW($M$3:M27))),IF(COUNTIF($M$3:M27,"6")=0,10^9,LOOKUP(2,1/($M$3:M27="6"),ROW($M$3:M27))),IF(COUNTIF($M$3:M27,"7")=0,10^9,LOOKUP(2,1/($M$3:M27="7"),ROW($M$3:M27))),IF(COUNTIF($M$3:M27,"8")=0,10^9,LOOKUP(2,1/($M$3:M27="8"),ROW($M$3:M27))),IF(COUNTIF($M$3:M27,"9")=0,10^9,LOOKUP(2,1/($M$3:M27="9"),ROW($M$3:M27))))-ROW($M$3)+1),"")),AND(N28&lt;&gt;"",N28=IFERROR(INDEX($N$3:N27,MIN(IF(COUNTIF($N$3:N27,"鼠")=0,10^9,LOOKUP(2,1/($N$3:N27="鼠"),ROW($N$3:N27))),IF(COUNTIF($N$3:N27,"牛")=0,10^9,LOOKUP(2,1/($N$3:N27="牛"),ROW($N$3:N27))),IF(COUNTIF($N$3:N27,"虎")=0,10^9,LOOKUP(2,1/($N$3:N27="虎"),ROW($N$3:N27))),IF(COUNTIF($N$3:N27,"兔")=0,10^9,LOOKUP(2,1/($N$3:N27="兔"),ROW($N$3:N27))),IF(COUNTIF($N$3:N27,"龙")=0,10^9,LOOKUP(2,1/($N$3:N27="龙"),ROW($N$3:N27))),IF(COUNTIF($N$3:N27,"蛇")=0,10^9,LOOKUP(2,1/($N$3:N27="蛇"),ROW($N$3:N27))),IF(COUNTIF($N$3:N27,"马")=0,10^9,LOOKUP(2,1/($N$3:N27="马"),ROW($N$3:N27))),IF(COUNTIF($N$3:N27,"羊")=0,10^9,LOOKUP(2,1/($N$3:N27="羊"),ROW($N$3:N27))),IF(COUNTIF($N$3:N27,"猴")=0,10^9,LOOKUP(2,1/($N$3:N27="猴"),ROW($N$3:N27))),IF(COUNTIF($N$3:N27,"鸡")=0,10^9,LOOKUP(2,1/($N$3:N27="鸡"),ROW($N$3:N27))),IF(COUNTIF($N$3:N27,"狗")=0,10^9,LOOKUP(2,1/($N$3:N27="狗"),ROW($N$3:N27))),IF(COUNTIF($N$3:N27,"猪")=0,10^9,LOOKUP(2,1/($N$3:N27="猪"),ROW($N$3:N27))))-ROW($N$3)+1),""))),0,IF(ISNUMBER(J27),J27+1,1)))</f>
        <v>1</v>
      </c>
      <c r="K28" s="5">
        <f t="shared" si="6"/>
        <v>6</v>
      </c>
      <c r="M28" s="6" t="str">
        <f t="shared" si="1"/>
        <v>8</v>
      </c>
      <c r="N28" s="2" t="str">
        <f t="shared" si="2"/>
        <v>猪</v>
      </c>
      <c r="O28" s="7" t="str">
        <f>IF(M28="","",IF(COUNTIF(M29:$M$1000,M28)&gt;0,"",M28))</f>
        <v/>
      </c>
      <c r="P28" s="8" t="str">
        <f>IF(N28="","",IF(COUNTIF(N29:$N$1000,N28)&gt;0,"",N28))</f>
        <v/>
      </c>
      <c r="Q28" s="21">
        <f t="shared" si="3"/>
        <v>115</v>
      </c>
      <c r="R28" s="22" t="str">
        <f t="shared" si="4"/>
        <v>鼠</v>
      </c>
      <c r="X28" s="2">
        <v>13</v>
      </c>
      <c r="Y28" s="2" t="s">
        <v>24</v>
      </c>
    </row>
    <row r="29" s="1" customFormat="1" spans="1:25">
      <c r="A29" s="2">
        <v>115056664</v>
      </c>
      <c r="B29" s="2">
        <v>26</v>
      </c>
      <c r="C29" s="2">
        <v>10</v>
      </c>
      <c r="D29" s="2">
        <v>32</v>
      </c>
      <c r="E29" s="2">
        <v>47</v>
      </c>
      <c r="F29" s="2">
        <v>13</v>
      </c>
      <c r="G29" s="2">
        <v>8</v>
      </c>
      <c r="H29" s="3">
        <v>46</v>
      </c>
      <c r="I29" s="2" t="str">
        <f t="shared" si="0"/>
        <v>鸡</v>
      </c>
      <c r="J29" s="4">
        <f>IF(H29="","",IF(OR(AND(M29&lt;&gt;"",M29=IFERROR(INDEX($M$3:M28,MIN(IF(COUNTIF($M$3:M28,"0")=0,10^9,LOOKUP(2,1/($M$3:M28="0"),ROW($M$3:M28))),IF(COUNTIF($M$3:M28,"1")=0,10^9,LOOKUP(2,1/($M$3:M28="1"),ROW($M$3:M28))),IF(COUNTIF($M$3:M28,"2")=0,10^9,LOOKUP(2,1/($M$3:M28="2"),ROW($M$3:M28))),IF(COUNTIF($M$3:M28,"3")=0,10^9,LOOKUP(2,1/($M$3:M28="3"),ROW($M$3:M28))),IF(COUNTIF($M$3:M28,"4")=0,10^9,LOOKUP(2,1/($M$3:M28="4"),ROW($M$3:M28))),IF(COUNTIF($M$3:M28,"5")=0,10^9,LOOKUP(2,1/($M$3:M28="5"),ROW($M$3:M28))),IF(COUNTIF($M$3:M28,"6")=0,10^9,LOOKUP(2,1/($M$3:M28="6"),ROW($M$3:M28))),IF(COUNTIF($M$3:M28,"7")=0,10^9,LOOKUP(2,1/($M$3:M28="7"),ROW($M$3:M28))),IF(COUNTIF($M$3:M28,"8")=0,10^9,LOOKUP(2,1/($M$3:M28="8"),ROW($M$3:M28))),IF(COUNTIF($M$3:M28,"9")=0,10^9,LOOKUP(2,1/($M$3:M28="9"),ROW($M$3:M28))))-ROW($M$3)+1),"")),AND(N29&lt;&gt;"",N29=IFERROR(INDEX($N$3:N28,MIN(IF(COUNTIF($N$3:N28,"鼠")=0,10^9,LOOKUP(2,1/($N$3:N28="鼠"),ROW($N$3:N28))),IF(COUNTIF($N$3:N28,"牛")=0,10^9,LOOKUP(2,1/($N$3:N28="牛"),ROW($N$3:N28))),IF(COUNTIF($N$3:N28,"虎")=0,10^9,LOOKUP(2,1/($N$3:N28="虎"),ROW($N$3:N28))),IF(COUNTIF($N$3:N28,"兔")=0,10^9,LOOKUP(2,1/($N$3:N28="兔"),ROW($N$3:N28))),IF(COUNTIF($N$3:N28,"龙")=0,10^9,LOOKUP(2,1/($N$3:N28="龙"),ROW($N$3:N28))),IF(COUNTIF($N$3:N28,"蛇")=0,10^9,LOOKUP(2,1/($N$3:N28="蛇"),ROW($N$3:N28))),IF(COUNTIF($N$3:N28,"马")=0,10^9,LOOKUP(2,1/($N$3:N28="马"),ROW($N$3:N28))),IF(COUNTIF($N$3:N28,"羊")=0,10^9,LOOKUP(2,1/($N$3:N28="羊"),ROW($N$3:N28))),IF(COUNTIF($N$3:N28,"猴")=0,10^9,LOOKUP(2,1/($N$3:N28="猴"),ROW($N$3:N28))),IF(COUNTIF($N$3:N28,"鸡")=0,10^9,LOOKUP(2,1/($N$3:N28="鸡"),ROW($N$3:N28))),IF(COUNTIF($N$3:N28,"狗")=0,10^9,LOOKUP(2,1/($N$3:N28="狗"),ROW($N$3:N28))),IF(COUNTIF($N$3:N28,"猪")=0,10^9,LOOKUP(2,1/($N$3:N28="猪"),ROW($N$3:N28))))-ROW($N$3)+1),""))),0,IF(ISNUMBER(J28),J28+1,1)))</f>
        <v>2</v>
      </c>
      <c r="K29" s="5">
        <f t="shared" si="6"/>
        <v>7</v>
      </c>
      <c r="M29" s="6" t="str">
        <f t="shared" si="1"/>
        <v>6</v>
      </c>
      <c r="N29" s="2" t="str">
        <f t="shared" si="2"/>
        <v>鸡</v>
      </c>
      <c r="O29" s="7" t="str">
        <f>IF(M29="","",IF(COUNTIF(M30:$M$1000,M29)&gt;0,"",M29))</f>
        <v/>
      </c>
      <c r="P29" s="8" t="str">
        <f>IF(N29="","",IF(COUNTIF(N30:$N$1000,N29)&gt;0,"",N29))</f>
        <v/>
      </c>
      <c r="Q29" s="21">
        <f t="shared" si="3"/>
        <v>100</v>
      </c>
      <c r="R29" s="22" t="str">
        <f t="shared" si="4"/>
        <v>兔</v>
      </c>
      <c r="X29" s="2">
        <v>25</v>
      </c>
      <c r="Y29" s="2" t="s">
        <v>24</v>
      </c>
    </row>
    <row r="30" s="1" customFormat="1" spans="1:25">
      <c r="A30" s="2">
        <v>115056665</v>
      </c>
      <c r="B30" s="2">
        <v>20</v>
      </c>
      <c r="C30" s="2">
        <v>38</v>
      </c>
      <c r="D30" s="2">
        <v>17</v>
      </c>
      <c r="E30" s="2">
        <v>24</v>
      </c>
      <c r="F30" s="2">
        <v>49</v>
      </c>
      <c r="G30" s="2">
        <v>35</v>
      </c>
      <c r="H30" s="3">
        <v>16</v>
      </c>
      <c r="I30" s="2" t="str">
        <f t="shared" si="0"/>
        <v>兔</v>
      </c>
      <c r="J30" s="4">
        <f>IF(H30="","",IF(OR(AND(M30&lt;&gt;"",M30=IFERROR(INDEX($M$3:M29,MIN(IF(COUNTIF($M$3:M29,"0")=0,10^9,LOOKUP(2,1/($M$3:M29="0"),ROW($M$3:M29))),IF(COUNTIF($M$3:M29,"1")=0,10^9,LOOKUP(2,1/($M$3:M29="1"),ROW($M$3:M29))),IF(COUNTIF($M$3:M29,"2")=0,10^9,LOOKUP(2,1/($M$3:M29="2"),ROW($M$3:M29))),IF(COUNTIF($M$3:M29,"3")=0,10^9,LOOKUP(2,1/($M$3:M29="3"),ROW($M$3:M29))),IF(COUNTIF($M$3:M29,"4")=0,10^9,LOOKUP(2,1/($M$3:M29="4"),ROW($M$3:M29))),IF(COUNTIF($M$3:M29,"5")=0,10^9,LOOKUP(2,1/($M$3:M29="5"),ROW($M$3:M29))),IF(COUNTIF($M$3:M29,"6")=0,10^9,LOOKUP(2,1/($M$3:M29="6"),ROW($M$3:M29))),IF(COUNTIF($M$3:M29,"7")=0,10^9,LOOKUP(2,1/($M$3:M29="7"),ROW($M$3:M29))),IF(COUNTIF($M$3:M29,"8")=0,10^9,LOOKUP(2,1/($M$3:M29="8"),ROW($M$3:M29))),IF(COUNTIF($M$3:M29,"9")=0,10^9,LOOKUP(2,1/($M$3:M29="9"),ROW($M$3:M29))))-ROW($M$3)+1),"")),AND(N30&lt;&gt;"",N30=IFERROR(INDEX($N$3:N29,MIN(IF(COUNTIF($N$3:N29,"鼠")=0,10^9,LOOKUP(2,1/($N$3:N29="鼠"),ROW($N$3:N29))),IF(COUNTIF($N$3:N29,"牛")=0,10^9,LOOKUP(2,1/($N$3:N29="牛"),ROW($N$3:N29))),IF(COUNTIF($N$3:N29,"虎")=0,10^9,LOOKUP(2,1/($N$3:N29="虎"),ROW($N$3:N29))),IF(COUNTIF($N$3:N29,"兔")=0,10^9,LOOKUP(2,1/($N$3:N29="兔"),ROW($N$3:N29))),IF(COUNTIF($N$3:N29,"龙")=0,10^9,LOOKUP(2,1/($N$3:N29="龙"),ROW($N$3:N29))),IF(COUNTIF($N$3:N29,"蛇")=0,10^9,LOOKUP(2,1/($N$3:N29="蛇"),ROW($N$3:N29))),IF(COUNTIF($N$3:N29,"马")=0,10^9,LOOKUP(2,1/($N$3:N29="马"),ROW($N$3:N29))),IF(COUNTIF($N$3:N29,"羊")=0,10^9,LOOKUP(2,1/($N$3:N29="羊"),ROW($N$3:N29))),IF(COUNTIF($N$3:N29,"猴")=0,10^9,LOOKUP(2,1/($N$3:N29="猴"),ROW($N$3:N29))),IF(COUNTIF($N$3:N29,"鸡")=0,10^9,LOOKUP(2,1/($N$3:N29="鸡"),ROW($N$3:N29))),IF(COUNTIF($N$3:N29,"狗")=0,10^9,LOOKUP(2,1/($N$3:N29="狗"),ROW($N$3:N29))),IF(COUNTIF($N$3:N29,"猪")=0,10^9,LOOKUP(2,1/($N$3:N29="猪"),ROW($N$3:N29))))-ROW($N$3)+1),""))),0,IF(ISNUMBER(J29),J29+1,1)))</f>
        <v>3</v>
      </c>
      <c r="K30" s="5">
        <f t="shared" si="6"/>
        <v>0</v>
      </c>
      <c r="M30" s="6" t="str">
        <f t="shared" si="1"/>
        <v>6</v>
      </c>
      <c r="N30" s="2" t="str">
        <f t="shared" si="2"/>
        <v>兔</v>
      </c>
      <c r="O30" s="7" t="str">
        <f>IF(M30="","",IF(COUNTIF(M31:$M$1000,M30)&gt;0,"",M30))</f>
        <v/>
      </c>
      <c r="P30" s="8" t="str">
        <f>IF(N30="","",IF(COUNTIF(N31:$N$1000,N30)&gt;0,"",N30))</f>
        <v/>
      </c>
      <c r="Q30" s="21">
        <f t="shared" si="3"/>
        <v>110</v>
      </c>
      <c r="R30" s="22" t="str">
        <f t="shared" si="4"/>
        <v>蛇</v>
      </c>
      <c r="X30" s="2">
        <v>37</v>
      </c>
      <c r="Y30" s="2" t="s">
        <v>24</v>
      </c>
    </row>
    <row r="31" s="1" customFormat="1" spans="1:25">
      <c r="A31" s="2">
        <v>115056666</v>
      </c>
      <c r="B31" s="2">
        <v>8</v>
      </c>
      <c r="C31" s="2">
        <v>43</v>
      </c>
      <c r="D31" s="2">
        <v>7</v>
      </c>
      <c r="E31" s="2">
        <v>42</v>
      </c>
      <c r="F31" s="2">
        <v>1</v>
      </c>
      <c r="G31" s="2">
        <v>27</v>
      </c>
      <c r="H31" s="3">
        <v>36</v>
      </c>
      <c r="I31" s="2" t="str">
        <f t="shared" si="0"/>
        <v>羊</v>
      </c>
      <c r="J31" s="4">
        <f>IF(H31="","",IF(OR(AND(M31&lt;&gt;"",M31=IFERROR(INDEX($M$3:M30,MIN(IF(COUNTIF($M$3:M30,"0")=0,10^9,LOOKUP(2,1/($M$3:M30="0"),ROW($M$3:M30))),IF(COUNTIF($M$3:M30,"1")=0,10^9,LOOKUP(2,1/($M$3:M30="1"),ROW($M$3:M30))),IF(COUNTIF($M$3:M30,"2")=0,10^9,LOOKUP(2,1/($M$3:M30="2"),ROW($M$3:M30))),IF(COUNTIF($M$3:M30,"3")=0,10^9,LOOKUP(2,1/($M$3:M30="3"),ROW($M$3:M30))),IF(COUNTIF($M$3:M30,"4")=0,10^9,LOOKUP(2,1/($M$3:M30="4"),ROW($M$3:M30))),IF(COUNTIF($M$3:M30,"5")=0,10^9,LOOKUP(2,1/($M$3:M30="5"),ROW($M$3:M30))),IF(COUNTIF($M$3:M30,"6")=0,10^9,LOOKUP(2,1/($M$3:M30="6"),ROW($M$3:M30))),IF(COUNTIF($M$3:M30,"7")=0,10^9,LOOKUP(2,1/($M$3:M30="7"),ROW($M$3:M30))),IF(COUNTIF($M$3:M30,"8")=0,10^9,LOOKUP(2,1/($M$3:M30="8"),ROW($M$3:M30))),IF(COUNTIF($M$3:M30,"9")=0,10^9,LOOKUP(2,1/($M$3:M30="9"),ROW($M$3:M30))))-ROW($M$3)+1),"")),AND(N31&lt;&gt;"",N31=IFERROR(INDEX($N$3:N30,MIN(IF(COUNTIF($N$3:N30,"鼠")=0,10^9,LOOKUP(2,1/($N$3:N30="鼠"),ROW($N$3:N30))),IF(COUNTIF($N$3:N30,"牛")=0,10^9,LOOKUP(2,1/($N$3:N30="牛"),ROW($N$3:N30))),IF(COUNTIF($N$3:N30,"虎")=0,10^9,LOOKUP(2,1/($N$3:N30="虎"),ROW($N$3:N30))),IF(COUNTIF($N$3:N30,"兔")=0,10^9,LOOKUP(2,1/($N$3:N30="兔"),ROW($N$3:N30))),IF(COUNTIF($N$3:N30,"龙")=0,10^9,LOOKUP(2,1/($N$3:N30="龙"),ROW($N$3:N30))),IF(COUNTIF($N$3:N30,"蛇")=0,10^9,LOOKUP(2,1/($N$3:N30="蛇"),ROW($N$3:N30))),IF(COUNTIF($N$3:N30,"马")=0,10^9,LOOKUP(2,1/($N$3:N30="马"),ROW($N$3:N30))),IF(COUNTIF($N$3:N30,"羊")=0,10^9,LOOKUP(2,1/($N$3:N30="羊"),ROW($N$3:N30))),IF(COUNTIF($N$3:N30,"猴")=0,10^9,LOOKUP(2,1/($N$3:N30="猴"),ROW($N$3:N30))),IF(COUNTIF($N$3:N30,"鸡")=0,10^9,LOOKUP(2,1/($N$3:N30="鸡"),ROW($N$3:N30))),IF(COUNTIF($N$3:N30,"狗")=0,10^9,LOOKUP(2,1/($N$3:N30="狗"),ROW($N$3:N30))),IF(COUNTIF($N$3:N30,"猪")=0,10^9,LOOKUP(2,1/($N$3:N30="猪"),ROW($N$3:N30))))-ROW($N$3)+1),""))),0,IF(ISNUMBER(J30),J30+1,1)))</f>
        <v>0</v>
      </c>
      <c r="K31" s="5">
        <f t="shared" si="6"/>
        <v>1</v>
      </c>
      <c r="M31" s="6" t="str">
        <f t="shared" si="1"/>
        <v>6</v>
      </c>
      <c r="N31" s="2" t="str">
        <f t="shared" si="2"/>
        <v>羊</v>
      </c>
      <c r="O31" s="7" t="str">
        <f>IF(M31="","",IF(COUNTIF(M32:$M$1000,M31)&gt;0,"",M31))</f>
        <v/>
      </c>
      <c r="P31" s="8" t="str">
        <f>IF(N31="","",IF(COUNTIF(N32:$N$1000,N31)&gt;0,"",N31))</f>
        <v/>
      </c>
      <c r="Q31" s="21">
        <f t="shared" si="3"/>
        <v>94</v>
      </c>
      <c r="R31" s="22" t="str">
        <f t="shared" si="4"/>
        <v>鸡</v>
      </c>
      <c r="X31" s="2">
        <v>49</v>
      </c>
      <c r="Y31" s="2" t="s">
        <v>24</v>
      </c>
    </row>
    <row r="32" s="1" customFormat="1" spans="1:25">
      <c r="A32" s="2">
        <v>115056667</v>
      </c>
      <c r="B32" s="2">
        <v>48</v>
      </c>
      <c r="C32" s="2">
        <v>29</v>
      </c>
      <c r="D32" s="2">
        <v>22</v>
      </c>
      <c r="E32" s="2">
        <v>27</v>
      </c>
      <c r="F32" s="2">
        <v>36</v>
      </c>
      <c r="G32" s="2">
        <v>7</v>
      </c>
      <c r="H32" s="3">
        <v>15</v>
      </c>
      <c r="I32" s="2" t="str">
        <f t="shared" si="0"/>
        <v>龙</v>
      </c>
      <c r="J32" s="4">
        <f>IF(H32="","",IF(OR(AND(M32&lt;&gt;"",M32=IFERROR(INDEX($M$3:M31,MIN(IF(COUNTIF($M$3:M31,"0")=0,10^9,LOOKUP(2,1/($M$3:M31="0"),ROW($M$3:M31))),IF(COUNTIF($M$3:M31,"1")=0,10^9,LOOKUP(2,1/($M$3:M31="1"),ROW($M$3:M31))),IF(COUNTIF($M$3:M31,"2")=0,10^9,LOOKUP(2,1/($M$3:M31="2"),ROW($M$3:M31))),IF(COUNTIF($M$3:M31,"3")=0,10^9,LOOKUP(2,1/($M$3:M31="3"),ROW($M$3:M31))),IF(COUNTIF($M$3:M31,"4")=0,10^9,LOOKUP(2,1/($M$3:M31="4"),ROW($M$3:M31))),IF(COUNTIF($M$3:M31,"5")=0,10^9,LOOKUP(2,1/($M$3:M31="5"),ROW($M$3:M31))),IF(COUNTIF($M$3:M31,"6")=0,10^9,LOOKUP(2,1/($M$3:M31="6"),ROW($M$3:M31))),IF(COUNTIF($M$3:M31,"7")=0,10^9,LOOKUP(2,1/($M$3:M31="7"),ROW($M$3:M31))),IF(COUNTIF($M$3:M31,"8")=0,10^9,LOOKUP(2,1/($M$3:M31="8"),ROW($M$3:M31))),IF(COUNTIF($M$3:M31,"9")=0,10^9,LOOKUP(2,1/($M$3:M31="9"),ROW($M$3:M31))))-ROW($M$3)+1),"")),AND(N32&lt;&gt;"",N32=IFERROR(INDEX($N$3:N31,MIN(IF(COUNTIF($N$3:N31,"鼠")=0,10^9,LOOKUP(2,1/($N$3:N31="鼠"),ROW($N$3:N31))),IF(COUNTIF($N$3:N31,"牛")=0,10^9,LOOKUP(2,1/($N$3:N31="牛"),ROW($N$3:N31))),IF(COUNTIF($N$3:N31,"虎")=0,10^9,LOOKUP(2,1/($N$3:N31="虎"),ROW($N$3:N31))),IF(COUNTIF($N$3:N31,"兔")=0,10^9,LOOKUP(2,1/($N$3:N31="兔"),ROW($N$3:N31))),IF(COUNTIF($N$3:N31,"龙")=0,10^9,LOOKUP(2,1/($N$3:N31="龙"),ROW($N$3:N31))),IF(COUNTIF($N$3:N31,"蛇")=0,10^9,LOOKUP(2,1/($N$3:N31="蛇"),ROW($N$3:N31))),IF(COUNTIF($N$3:N31,"马")=0,10^9,LOOKUP(2,1/($N$3:N31="马"),ROW($N$3:N31))),IF(COUNTIF($N$3:N31,"羊")=0,10^9,LOOKUP(2,1/($N$3:N31="羊"),ROW($N$3:N31))),IF(COUNTIF($N$3:N31,"猴")=0,10^9,LOOKUP(2,1/($N$3:N31="猴"),ROW($N$3:N31))),IF(COUNTIF($N$3:N31,"鸡")=0,10^9,LOOKUP(2,1/($N$3:N31="鸡"),ROW($N$3:N31))),IF(COUNTIF($N$3:N31,"狗")=0,10^9,LOOKUP(2,1/($N$3:N31="狗"),ROW($N$3:N31))),IF(COUNTIF($N$3:N31,"猪")=0,10^9,LOOKUP(2,1/($N$3:N31="猪"),ROW($N$3:N31))))-ROW($N$3)+1),""))),0,IF(ISNUMBER(J31),J31+1,1)))</f>
        <v>1</v>
      </c>
      <c r="K32" s="5">
        <f t="shared" si="6"/>
        <v>2</v>
      </c>
      <c r="M32" s="6" t="str">
        <f t="shared" si="1"/>
        <v>5</v>
      </c>
      <c r="N32" s="2" t="str">
        <f t="shared" si="2"/>
        <v>龙</v>
      </c>
      <c r="O32" s="7" t="str">
        <f>IF(M32="","",IF(COUNTIF(M33:$M$1000,M32)&gt;0,"",M32))</f>
        <v/>
      </c>
      <c r="P32" s="8" t="str">
        <f>IF(N32="","",IF(COUNTIF(N33:$N$1000,N32)&gt;0,"",N32))</f>
        <v/>
      </c>
      <c r="Q32" s="21">
        <f t="shared" si="3"/>
        <v>109</v>
      </c>
      <c r="R32" s="22" t="str">
        <f t="shared" si="4"/>
        <v>马</v>
      </c>
      <c r="X32" s="2">
        <v>12</v>
      </c>
      <c r="Y32" s="2" t="s">
        <v>25</v>
      </c>
    </row>
    <row r="33" s="1" customFormat="1" spans="1:25">
      <c r="A33" s="2">
        <v>115056668</v>
      </c>
      <c r="B33" s="2">
        <v>10</v>
      </c>
      <c r="C33" s="2">
        <v>49</v>
      </c>
      <c r="D33" s="2">
        <v>16</v>
      </c>
      <c r="E33" s="2">
        <v>31</v>
      </c>
      <c r="F33" s="2">
        <v>20</v>
      </c>
      <c r="G33" s="2">
        <v>37</v>
      </c>
      <c r="H33" s="3">
        <v>26</v>
      </c>
      <c r="I33" s="2" t="str">
        <f t="shared" si="0"/>
        <v>蛇</v>
      </c>
      <c r="J33" s="4">
        <f>IF(H33="","",IF(OR(AND(M33&lt;&gt;"",M33=IFERROR(INDEX($M$3:M32,MIN(IF(COUNTIF($M$3:M32,"0")=0,10^9,LOOKUP(2,1/($M$3:M32="0"),ROW($M$3:M32))),IF(COUNTIF($M$3:M32,"1")=0,10^9,LOOKUP(2,1/($M$3:M32="1"),ROW($M$3:M32))),IF(COUNTIF($M$3:M32,"2")=0,10^9,LOOKUP(2,1/($M$3:M32="2"),ROW($M$3:M32))),IF(COUNTIF($M$3:M32,"3")=0,10^9,LOOKUP(2,1/($M$3:M32="3"),ROW($M$3:M32))),IF(COUNTIF($M$3:M32,"4")=0,10^9,LOOKUP(2,1/($M$3:M32="4"),ROW($M$3:M32))),IF(COUNTIF($M$3:M32,"5")=0,10^9,LOOKUP(2,1/($M$3:M32="5"),ROW($M$3:M32))),IF(COUNTIF($M$3:M32,"6")=0,10^9,LOOKUP(2,1/($M$3:M32="6"),ROW($M$3:M32))),IF(COUNTIF($M$3:M32,"7")=0,10^9,LOOKUP(2,1/($M$3:M32="7"),ROW($M$3:M32))),IF(COUNTIF($M$3:M32,"8")=0,10^9,LOOKUP(2,1/($M$3:M32="8"),ROW($M$3:M32))),IF(COUNTIF($M$3:M32,"9")=0,10^9,LOOKUP(2,1/($M$3:M32="9"),ROW($M$3:M32))))-ROW($M$3)+1),"")),AND(N33&lt;&gt;"",N33=IFERROR(INDEX($N$3:N32,MIN(IF(COUNTIF($N$3:N32,"鼠")=0,10^9,LOOKUP(2,1/($N$3:N32="鼠"),ROW($N$3:N32))),IF(COUNTIF($N$3:N32,"牛")=0,10^9,LOOKUP(2,1/($N$3:N32="牛"),ROW($N$3:N32))),IF(COUNTIF($N$3:N32,"虎")=0,10^9,LOOKUP(2,1/($N$3:N32="虎"),ROW($N$3:N32))),IF(COUNTIF($N$3:N32,"兔")=0,10^9,LOOKUP(2,1/($N$3:N32="兔"),ROW($N$3:N32))),IF(COUNTIF($N$3:N32,"龙")=0,10^9,LOOKUP(2,1/($N$3:N32="龙"),ROW($N$3:N32))),IF(COUNTIF($N$3:N32,"蛇")=0,10^9,LOOKUP(2,1/($N$3:N32="蛇"),ROW($N$3:N32))),IF(COUNTIF($N$3:N32,"马")=0,10^9,LOOKUP(2,1/($N$3:N32="马"),ROW($N$3:N32))),IF(COUNTIF($N$3:N32,"羊")=0,10^9,LOOKUP(2,1/($N$3:N32="羊"),ROW($N$3:N32))),IF(COUNTIF($N$3:N32,"猴")=0,10^9,LOOKUP(2,1/($N$3:N32="猴"),ROW($N$3:N32))),IF(COUNTIF($N$3:N32,"鸡")=0,10^9,LOOKUP(2,1/($N$3:N32="鸡"),ROW($N$3:N32))),IF(COUNTIF($N$3:N32,"狗")=0,10^9,LOOKUP(2,1/($N$3:N32="狗"),ROW($N$3:N32))),IF(COUNTIF($N$3:N32,"猪")=0,10^9,LOOKUP(2,1/($N$3:N32="猪"),ROW($N$3:N32))))-ROW($N$3)+1),""))),0,IF(ISNUMBER(J32),J32+1,1)))</f>
        <v>2</v>
      </c>
      <c r="K33" s="5">
        <f t="shared" si="6"/>
        <v>3</v>
      </c>
      <c r="M33" s="6" t="str">
        <f t="shared" si="1"/>
        <v>6</v>
      </c>
      <c r="N33" s="2" t="str">
        <f t="shared" si="2"/>
        <v>蛇</v>
      </c>
      <c r="O33" s="7" t="str">
        <f>IF(M33="","",IF(COUNTIF(M34:$M$1000,M33)&gt;0,"",M33))</f>
        <v/>
      </c>
      <c r="P33" s="8" t="str">
        <f>IF(N33="","",IF(COUNTIF(N34:$N$1000,N33)&gt;0,"",N33))</f>
        <v/>
      </c>
      <c r="Q33" s="21">
        <f t="shared" si="3"/>
        <v>105</v>
      </c>
      <c r="R33" s="22" t="str">
        <f t="shared" si="4"/>
        <v>狗</v>
      </c>
      <c r="X33" s="2">
        <v>24</v>
      </c>
      <c r="Y33" s="2" t="s">
        <v>25</v>
      </c>
    </row>
    <row r="34" s="1" customFormat="1" spans="1:25">
      <c r="A34" s="2">
        <v>115056669</v>
      </c>
      <c r="B34" s="2">
        <v>16</v>
      </c>
      <c r="C34" s="2">
        <v>28</v>
      </c>
      <c r="D34" s="2">
        <v>34</v>
      </c>
      <c r="E34" s="2">
        <v>30</v>
      </c>
      <c r="F34" s="2">
        <v>33</v>
      </c>
      <c r="G34" s="2">
        <v>43</v>
      </c>
      <c r="H34" s="3">
        <v>25</v>
      </c>
      <c r="I34" s="2" t="str">
        <f t="shared" si="0"/>
        <v>马</v>
      </c>
      <c r="J34" s="4">
        <f>IF(H34="","",IF(OR(AND(M34&lt;&gt;"",M34=IFERROR(INDEX($M$3:M33,MIN(IF(COUNTIF($M$3:M33,"0")=0,10^9,LOOKUP(2,1/($M$3:M33="0"),ROW($M$3:M33))),IF(COUNTIF($M$3:M33,"1")=0,10^9,LOOKUP(2,1/($M$3:M33="1"),ROW($M$3:M33))),IF(COUNTIF($M$3:M33,"2")=0,10^9,LOOKUP(2,1/($M$3:M33="2"),ROW($M$3:M33))),IF(COUNTIF($M$3:M33,"3")=0,10^9,LOOKUP(2,1/($M$3:M33="3"),ROW($M$3:M33))),IF(COUNTIF($M$3:M33,"4")=0,10^9,LOOKUP(2,1/($M$3:M33="4"),ROW($M$3:M33))),IF(COUNTIF($M$3:M33,"5")=0,10^9,LOOKUP(2,1/($M$3:M33="5"),ROW($M$3:M33))),IF(COUNTIF($M$3:M33,"6")=0,10^9,LOOKUP(2,1/($M$3:M33="6"),ROW($M$3:M33))),IF(COUNTIF($M$3:M33,"7")=0,10^9,LOOKUP(2,1/($M$3:M33="7"),ROW($M$3:M33))),IF(COUNTIF($M$3:M33,"8")=0,10^9,LOOKUP(2,1/($M$3:M33="8"),ROW($M$3:M33))),IF(COUNTIF($M$3:M33,"9")=0,10^9,LOOKUP(2,1/($M$3:M33="9"),ROW($M$3:M33))))-ROW($M$3)+1),"")),AND(N34&lt;&gt;"",N34=IFERROR(INDEX($N$3:N33,MIN(IF(COUNTIF($N$3:N33,"鼠")=0,10^9,LOOKUP(2,1/($N$3:N33="鼠"),ROW($N$3:N33))),IF(COUNTIF($N$3:N33,"牛")=0,10^9,LOOKUP(2,1/($N$3:N33="牛"),ROW($N$3:N33))),IF(COUNTIF($N$3:N33,"虎")=0,10^9,LOOKUP(2,1/($N$3:N33="虎"),ROW($N$3:N33))),IF(COUNTIF($N$3:N33,"兔")=0,10^9,LOOKUP(2,1/($N$3:N33="兔"),ROW($N$3:N33))),IF(COUNTIF($N$3:N33,"龙")=0,10^9,LOOKUP(2,1/($N$3:N33="龙"),ROW($N$3:N33))),IF(COUNTIF($N$3:N33,"蛇")=0,10^9,LOOKUP(2,1/($N$3:N33="蛇"),ROW($N$3:N33))),IF(COUNTIF($N$3:N33,"马")=0,10^9,LOOKUP(2,1/($N$3:N33="马"),ROW($N$3:N33))),IF(COUNTIF($N$3:N33,"羊")=0,10^9,LOOKUP(2,1/($N$3:N33="羊"),ROW($N$3:N33))),IF(COUNTIF($N$3:N33,"猴")=0,10^9,LOOKUP(2,1/($N$3:N33="猴"),ROW($N$3:N33))),IF(COUNTIF($N$3:N33,"鸡")=0,10^9,LOOKUP(2,1/($N$3:N33="鸡"),ROW($N$3:N33))),IF(COUNTIF($N$3:N33,"狗")=0,10^9,LOOKUP(2,1/($N$3:N33="狗"),ROW($N$3:N33))),IF(COUNTIF($N$3:N33,"猪")=0,10^9,LOOKUP(2,1/($N$3:N33="猪"),ROW($N$3:N33))))-ROW($N$3)+1),""))),0,IF(ISNUMBER(J33),J33+1,1)))</f>
        <v>3</v>
      </c>
      <c r="K34" s="5">
        <f t="shared" si="6"/>
        <v>4</v>
      </c>
      <c r="M34" s="6" t="str">
        <f t="shared" si="1"/>
        <v>5</v>
      </c>
      <c r="N34" s="2" t="str">
        <f t="shared" si="2"/>
        <v>马</v>
      </c>
      <c r="O34" s="7" t="str">
        <f>IF(M34="","",IF(COUNTIF(M35:$M$1000,M34)&gt;0,"",M34))</f>
        <v/>
      </c>
      <c r="P34" s="8" t="str">
        <f>IF(N34="","",IF(COUNTIF(N35:$N$1000,N34)&gt;0,"",N34))</f>
        <v/>
      </c>
      <c r="Q34" s="21">
        <f t="shared" si="3"/>
        <v>102</v>
      </c>
      <c r="R34" s="22" t="str">
        <f t="shared" si="4"/>
        <v>牛</v>
      </c>
      <c r="X34" s="2">
        <v>36</v>
      </c>
      <c r="Y34" s="2" t="s">
        <v>25</v>
      </c>
    </row>
    <row r="35" s="1" customFormat="1" spans="1:25">
      <c r="A35" s="2">
        <v>115056670</v>
      </c>
      <c r="B35" s="2">
        <v>4</v>
      </c>
      <c r="C35" s="2">
        <v>5</v>
      </c>
      <c r="D35" s="2">
        <v>38</v>
      </c>
      <c r="E35" s="2">
        <v>26</v>
      </c>
      <c r="F35" s="2">
        <v>14</v>
      </c>
      <c r="G35" s="2">
        <v>28</v>
      </c>
      <c r="H35" s="3">
        <v>36</v>
      </c>
      <c r="I35" s="2" t="str">
        <f t="shared" si="0"/>
        <v>羊</v>
      </c>
      <c r="J35" s="4">
        <f>IF(H35="","",IF(OR(AND(M35&lt;&gt;"",M35=IFERROR(INDEX($M$3:M34,MIN(IF(COUNTIF($M$3:M34,"0")=0,10^9,LOOKUP(2,1/($M$3:M34="0"),ROW($M$3:M34))),IF(COUNTIF($M$3:M34,"1")=0,10^9,LOOKUP(2,1/($M$3:M34="1"),ROW($M$3:M34))),IF(COUNTIF($M$3:M34,"2")=0,10^9,LOOKUP(2,1/($M$3:M34="2"),ROW($M$3:M34))),IF(COUNTIF($M$3:M34,"3")=0,10^9,LOOKUP(2,1/($M$3:M34="3"),ROW($M$3:M34))),IF(COUNTIF($M$3:M34,"4")=0,10^9,LOOKUP(2,1/($M$3:M34="4"),ROW($M$3:M34))),IF(COUNTIF($M$3:M34,"5")=0,10^9,LOOKUP(2,1/($M$3:M34="5"),ROW($M$3:M34))),IF(COUNTIF($M$3:M34,"6")=0,10^9,LOOKUP(2,1/($M$3:M34="6"),ROW($M$3:M34))),IF(COUNTIF($M$3:M34,"7")=0,10^9,LOOKUP(2,1/($M$3:M34="7"),ROW($M$3:M34))),IF(COUNTIF($M$3:M34,"8")=0,10^9,LOOKUP(2,1/($M$3:M34="8"),ROW($M$3:M34))),IF(COUNTIF($M$3:M34,"9")=0,10^9,LOOKUP(2,1/($M$3:M34="9"),ROW($M$3:M34))))-ROW($M$3)+1),"")),AND(N35&lt;&gt;"",N35=IFERROR(INDEX($N$3:N34,MIN(IF(COUNTIF($N$3:N34,"鼠")=0,10^9,LOOKUP(2,1/($N$3:N34="鼠"),ROW($N$3:N34))),IF(COUNTIF($N$3:N34,"牛")=0,10^9,LOOKUP(2,1/($N$3:N34="牛"),ROW($N$3:N34))),IF(COUNTIF($N$3:N34,"虎")=0,10^9,LOOKUP(2,1/($N$3:N34="虎"),ROW($N$3:N34))),IF(COUNTIF($N$3:N34,"兔")=0,10^9,LOOKUP(2,1/($N$3:N34="兔"),ROW($N$3:N34))),IF(COUNTIF($N$3:N34,"龙")=0,10^9,LOOKUP(2,1/($N$3:N34="龙"),ROW($N$3:N34))),IF(COUNTIF($N$3:N34,"蛇")=0,10^9,LOOKUP(2,1/($N$3:N34="蛇"),ROW($N$3:N34))),IF(COUNTIF($N$3:N34,"马")=0,10^9,LOOKUP(2,1/($N$3:N34="马"),ROW($N$3:N34))),IF(COUNTIF($N$3:N34,"羊")=0,10^9,LOOKUP(2,1/($N$3:N34="羊"),ROW($N$3:N34))),IF(COUNTIF($N$3:N34,"猴")=0,10^9,LOOKUP(2,1/($N$3:N34="猴"),ROW($N$3:N34))),IF(COUNTIF($N$3:N34,"鸡")=0,10^9,LOOKUP(2,1/($N$3:N34="鸡"),ROW($N$3:N34))),IF(COUNTIF($N$3:N34,"狗")=0,10^9,LOOKUP(2,1/($N$3:N34="狗"),ROW($N$3:N34))),IF(COUNTIF($N$3:N34,"猪")=0,10^9,LOOKUP(2,1/($N$3:N34="猪"),ROW($N$3:N34))))-ROW($N$3)+1),""))),0,IF(ISNUMBER(J34),J34+1,1)))</f>
        <v>4</v>
      </c>
      <c r="K35" s="5">
        <f t="shared" si="6"/>
        <v>5</v>
      </c>
      <c r="M35" s="6" t="str">
        <f t="shared" si="1"/>
        <v>6</v>
      </c>
      <c r="N35" s="2" t="str">
        <f t="shared" si="2"/>
        <v>羊</v>
      </c>
      <c r="O35" s="7" t="str">
        <f>IF(M35="","",IF(COUNTIF(M36:$M$1000,M35)&gt;0,"",M35))</f>
        <v/>
      </c>
      <c r="P35" s="8" t="str">
        <f>IF(N35="","",IF(COUNTIF(N36:$N$1000,N35)&gt;0,"",N35))</f>
        <v/>
      </c>
      <c r="Q35" s="21">
        <f t="shared" si="3"/>
        <v>86</v>
      </c>
      <c r="R35" s="22" t="str">
        <f t="shared" si="4"/>
        <v>蛇</v>
      </c>
      <c r="X35" s="2">
        <v>48</v>
      </c>
      <c r="Y35" s="2" t="s">
        <v>25</v>
      </c>
    </row>
    <row r="36" s="1" customFormat="1" spans="1:25">
      <c r="A36" s="2">
        <v>115056671</v>
      </c>
      <c r="B36" s="2">
        <v>46</v>
      </c>
      <c r="C36" s="2">
        <v>10</v>
      </c>
      <c r="D36" s="2">
        <v>21</v>
      </c>
      <c r="E36" s="2">
        <v>48</v>
      </c>
      <c r="F36" s="2">
        <v>36</v>
      </c>
      <c r="G36" s="2">
        <v>27</v>
      </c>
      <c r="H36" s="3">
        <v>33</v>
      </c>
      <c r="I36" s="2" t="str">
        <f t="shared" si="0"/>
        <v>狗</v>
      </c>
      <c r="J36" s="4">
        <f>IF(H36="","",IF(OR(AND(M36&lt;&gt;"",M36=IFERROR(INDEX($M$3:M35,MIN(IF(COUNTIF($M$3:M35,"0")=0,10^9,LOOKUP(2,1/($M$3:M35="0"),ROW($M$3:M35))),IF(COUNTIF($M$3:M35,"1")=0,10^9,LOOKUP(2,1/($M$3:M35="1"),ROW($M$3:M35))),IF(COUNTIF($M$3:M35,"2")=0,10^9,LOOKUP(2,1/($M$3:M35="2"),ROW($M$3:M35))),IF(COUNTIF($M$3:M35,"3")=0,10^9,LOOKUP(2,1/($M$3:M35="3"),ROW($M$3:M35))),IF(COUNTIF($M$3:M35,"4")=0,10^9,LOOKUP(2,1/($M$3:M35="4"),ROW($M$3:M35))),IF(COUNTIF($M$3:M35,"5")=0,10^9,LOOKUP(2,1/($M$3:M35="5"),ROW($M$3:M35))),IF(COUNTIF($M$3:M35,"6")=0,10^9,LOOKUP(2,1/($M$3:M35="6"),ROW($M$3:M35))),IF(COUNTIF($M$3:M35,"7")=0,10^9,LOOKUP(2,1/($M$3:M35="7"),ROW($M$3:M35))),IF(COUNTIF($M$3:M35,"8")=0,10^9,LOOKUP(2,1/($M$3:M35="8"),ROW($M$3:M35))),IF(COUNTIF($M$3:M35,"9")=0,10^9,LOOKUP(2,1/($M$3:M35="9"),ROW($M$3:M35))))-ROW($M$3)+1),"")),AND(N36&lt;&gt;"",N36=IFERROR(INDEX($N$3:N35,MIN(IF(COUNTIF($N$3:N35,"鼠")=0,10^9,LOOKUP(2,1/($N$3:N35="鼠"),ROW($N$3:N35))),IF(COUNTIF($N$3:N35,"牛")=0,10^9,LOOKUP(2,1/($N$3:N35="牛"),ROW($N$3:N35))),IF(COUNTIF($N$3:N35,"虎")=0,10^9,LOOKUP(2,1/($N$3:N35="虎"),ROW($N$3:N35))),IF(COUNTIF($N$3:N35,"兔")=0,10^9,LOOKUP(2,1/($N$3:N35="兔"),ROW($N$3:N35))),IF(COUNTIF($N$3:N35,"龙")=0,10^9,LOOKUP(2,1/($N$3:N35="龙"),ROW($N$3:N35))),IF(COUNTIF($N$3:N35,"蛇")=0,10^9,LOOKUP(2,1/($N$3:N35="蛇"),ROW($N$3:N35))),IF(COUNTIF($N$3:N35,"马")=0,10^9,LOOKUP(2,1/($N$3:N35="马"),ROW($N$3:N35))),IF(COUNTIF($N$3:N35,"羊")=0,10^9,LOOKUP(2,1/($N$3:N35="羊"),ROW($N$3:N35))),IF(COUNTIF($N$3:N35,"猴")=0,10^9,LOOKUP(2,1/($N$3:N35="猴"),ROW($N$3:N35))),IF(COUNTIF($N$3:N35,"鸡")=0,10^9,LOOKUP(2,1/($N$3:N35="鸡"),ROW($N$3:N35))),IF(COUNTIF($N$3:N35,"狗")=0,10^9,LOOKUP(2,1/($N$3:N35="狗"),ROW($N$3:N35))),IF(COUNTIF($N$3:N35,"猪")=0,10^9,LOOKUP(2,1/($N$3:N35="猪"),ROW($N$3:N35))))-ROW($N$3)+1),""))),0,IF(ISNUMBER(J35),J35+1,1)))</f>
        <v>5</v>
      </c>
      <c r="K36" s="5">
        <f t="shared" si="6"/>
        <v>6</v>
      </c>
      <c r="M36" s="6" t="str">
        <f t="shared" si="1"/>
        <v>3</v>
      </c>
      <c r="N36" s="2" t="str">
        <f t="shared" si="2"/>
        <v>狗</v>
      </c>
      <c r="O36" s="7" t="str">
        <f>IF(M36="","",IF(COUNTIF(M37:$M$1000,M36)&gt;0,"",M36))</f>
        <v/>
      </c>
      <c r="P36" s="8" t="str">
        <f>IF(N36="","",IF(COUNTIF(N37:$N$1000,N36)&gt;0,"",N36))</f>
        <v/>
      </c>
      <c r="Q36" s="21">
        <f t="shared" si="3"/>
        <v>108</v>
      </c>
      <c r="R36" s="22" t="str">
        <f t="shared" si="4"/>
        <v>羊</v>
      </c>
      <c r="X36" s="2">
        <v>11</v>
      </c>
      <c r="Y36" s="2" t="s">
        <v>26</v>
      </c>
    </row>
    <row r="37" s="1" customFormat="1" spans="1:25">
      <c r="A37" s="2">
        <v>115056672</v>
      </c>
      <c r="B37" s="2">
        <v>30</v>
      </c>
      <c r="C37" s="2">
        <v>46</v>
      </c>
      <c r="D37" s="2">
        <v>21</v>
      </c>
      <c r="E37" s="2">
        <v>23</v>
      </c>
      <c r="F37" s="2">
        <v>4</v>
      </c>
      <c r="G37" s="2">
        <v>43</v>
      </c>
      <c r="H37" s="3">
        <v>3</v>
      </c>
      <c r="I37" s="2" t="str">
        <f t="shared" si="0"/>
        <v>龙</v>
      </c>
      <c r="J37" s="4">
        <f>IF(H37="","",IF(OR(AND(M37&lt;&gt;"",M37=IFERROR(INDEX($M$3:M36,MIN(IF(COUNTIF($M$3:M36,"0")=0,10^9,LOOKUP(2,1/($M$3:M36="0"),ROW($M$3:M36))),IF(COUNTIF($M$3:M36,"1")=0,10^9,LOOKUP(2,1/($M$3:M36="1"),ROW($M$3:M36))),IF(COUNTIF($M$3:M36,"2")=0,10^9,LOOKUP(2,1/($M$3:M36="2"),ROW($M$3:M36))),IF(COUNTIF($M$3:M36,"3")=0,10^9,LOOKUP(2,1/($M$3:M36="3"),ROW($M$3:M36))),IF(COUNTIF($M$3:M36,"4")=0,10^9,LOOKUP(2,1/($M$3:M36="4"),ROW($M$3:M36))),IF(COUNTIF($M$3:M36,"5")=0,10^9,LOOKUP(2,1/($M$3:M36="5"),ROW($M$3:M36))),IF(COUNTIF($M$3:M36,"6")=0,10^9,LOOKUP(2,1/($M$3:M36="6"),ROW($M$3:M36))),IF(COUNTIF($M$3:M36,"7")=0,10^9,LOOKUP(2,1/($M$3:M36="7"),ROW($M$3:M36))),IF(COUNTIF($M$3:M36,"8")=0,10^9,LOOKUP(2,1/($M$3:M36="8"),ROW($M$3:M36))),IF(COUNTIF($M$3:M36,"9")=0,10^9,LOOKUP(2,1/($M$3:M36="9"),ROW($M$3:M36))))-ROW($M$3)+1),"")),AND(N37&lt;&gt;"",N37=IFERROR(INDEX($N$3:N36,MIN(IF(COUNTIF($N$3:N36,"鼠")=0,10^9,LOOKUP(2,1/($N$3:N36="鼠"),ROW($N$3:N36))),IF(COUNTIF($N$3:N36,"牛")=0,10^9,LOOKUP(2,1/($N$3:N36="牛"),ROW($N$3:N36))),IF(COUNTIF($N$3:N36,"虎")=0,10^9,LOOKUP(2,1/($N$3:N36="虎"),ROW($N$3:N36))),IF(COUNTIF($N$3:N36,"兔")=0,10^9,LOOKUP(2,1/($N$3:N36="兔"),ROW($N$3:N36))),IF(COUNTIF($N$3:N36,"龙")=0,10^9,LOOKUP(2,1/($N$3:N36="龙"),ROW($N$3:N36))),IF(COUNTIF($N$3:N36,"蛇")=0,10^9,LOOKUP(2,1/($N$3:N36="蛇"),ROW($N$3:N36))),IF(COUNTIF($N$3:N36,"马")=0,10^9,LOOKUP(2,1/($N$3:N36="马"),ROW($N$3:N36))),IF(COUNTIF($N$3:N36,"羊")=0,10^9,LOOKUP(2,1/($N$3:N36="羊"),ROW($N$3:N36))),IF(COUNTIF($N$3:N36,"猴")=0,10^9,LOOKUP(2,1/($N$3:N36="猴"),ROW($N$3:N36))),IF(COUNTIF($N$3:N36,"鸡")=0,10^9,LOOKUP(2,1/($N$3:N36="鸡"),ROW($N$3:N36))),IF(COUNTIF($N$3:N36,"狗")=0,10^9,LOOKUP(2,1/($N$3:N36="狗"),ROW($N$3:N36))),IF(COUNTIF($N$3:N36,"猪")=0,10^9,LOOKUP(2,1/($N$3:N36="猪"),ROW($N$3:N36))))-ROW($N$3)+1),""))),0,IF(ISNUMBER(J36),J36+1,1)))</f>
        <v>6</v>
      </c>
      <c r="K37" s="5">
        <f t="shared" si="6"/>
        <v>7</v>
      </c>
      <c r="M37" s="6" t="str">
        <f t="shared" si="1"/>
        <v>3</v>
      </c>
      <c r="N37" s="2" t="str">
        <f t="shared" si="2"/>
        <v>龙</v>
      </c>
      <c r="O37" s="7" t="str">
        <f>IF(M37="","",IF(COUNTIF(M38:$M$1000,M37)&gt;0,"",M37))</f>
        <v/>
      </c>
      <c r="P37" s="8" t="str">
        <f>IF(N37="","",IF(COUNTIF(N38:$N$1000,N37)&gt;0,"",N37))</f>
        <v/>
      </c>
      <c r="Q37" s="21">
        <f t="shared" si="3"/>
        <v>105</v>
      </c>
      <c r="R37" s="22" t="str">
        <f t="shared" si="4"/>
        <v>狗</v>
      </c>
      <c r="X37" s="2">
        <v>23</v>
      </c>
      <c r="Y37" s="2" t="s">
        <v>26</v>
      </c>
    </row>
    <row r="38" s="1" customFormat="1" spans="1:25">
      <c r="A38" s="2">
        <v>115056673</v>
      </c>
      <c r="B38" s="2">
        <v>11</v>
      </c>
      <c r="C38" s="2">
        <v>48</v>
      </c>
      <c r="D38" s="2">
        <v>13</v>
      </c>
      <c r="E38" s="2">
        <v>10</v>
      </c>
      <c r="F38" s="2">
        <v>22</v>
      </c>
      <c r="G38" s="2">
        <v>21</v>
      </c>
      <c r="H38" s="3">
        <v>23</v>
      </c>
      <c r="I38" s="2" t="str">
        <f t="shared" si="0"/>
        <v>猴</v>
      </c>
      <c r="J38" s="4">
        <f>IF(H38="","",IF(OR(AND(M38&lt;&gt;"",M38=IFERROR(INDEX($M$3:M37,MIN(IF(COUNTIF($M$3:M37,"0")=0,10^9,LOOKUP(2,1/($M$3:M37="0"),ROW($M$3:M37))),IF(COUNTIF($M$3:M37,"1")=0,10^9,LOOKUP(2,1/($M$3:M37="1"),ROW($M$3:M37))),IF(COUNTIF($M$3:M37,"2")=0,10^9,LOOKUP(2,1/($M$3:M37="2"),ROW($M$3:M37))),IF(COUNTIF($M$3:M37,"3")=0,10^9,LOOKUP(2,1/($M$3:M37="3"),ROW($M$3:M37))),IF(COUNTIF($M$3:M37,"4")=0,10^9,LOOKUP(2,1/($M$3:M37="4"),ROW($M$3:M37))),IF(COUNTIF($M$3:M37,"5")=0,10^9,LOOKUP(2,1/($M$3:M37="5"),ROW($M$3:M37))),IF(COUNTIF($M$3:M37,"6")=0,10^9,LOOKUP(2,1/($M$3:M37="6"),ROW($M$3:M37))),IF(COUNTIF($M$3:M37,"7")=0,10^9,LOOKUP(2,1/($M$3:M37="7"),ROW($M$3:M37))),IF(COUNTIF($M$3:M37,"8")=0,10^9,LOOKUP(2,1/($M$3:M37="8"),ROW($M$3:M37))),IF(COUNTIF($M$3:M37,"9")=0,10^9,LOOKUP(2,1/($M$3:M37="9"),ROW($M$3:M37))))-ROW($M$3)+1),"")),AND(N38&lt;&gt;"",N38=IFERROR(INDEX($N$3:N37,MIN(IF(COUNTIF($N$3:N37,"鼠")=0,10^9,LOOKUP(2,1/($N$3:N37="鼠"),ROW($N$3:N37))),IF(COUNTIF($N$3:N37,"牛")=0,10^9,LOOKUP(2,1/($N$3:N37="牛"),ROW($N$3:N37))),IF(COUNTIF($N$3:N37,"虎")=0,10^9,LOOKUP(2,1/($N$3:N37="虎"),ROW($N$3:N37))),IF(COUNTIF($N$3:N37,"兔")=0,10^9,LOOKUP(2,1/($N$3:N37="兔"),ROW($N$3:N37))),IF(COUNTIF($N$3:N37,"龙")=0,10^9,LOOKUP(2,1/($N$3:N37="龙"),ROW($N$3:N37))),IF(COUNTIF($N$3:N37,"蛇")=0,10^9,LOOKUP(2,1/($N$3:N37="蛇"),ROW($N$3:N37))),IF(COUNTIF($N$3:N37,"马")=0,10^9,LOOKUP(2,1/($N$3:N37="马"),ROW($N$3:N37))),IF(COUNTIF($N$3:N37,"羊")=0,10^9,LOOKUP(2,1/($N$3:N37="羊"),ROW($N$3:N37))),IF(COUNTIF($N$3:N37,"猴")=0,10^9,LOOKUP(2,1/($N$3:N37="猴"),ROW($N$3:N37))),IF(COUNTIF($N$3:N37,"鸡")=0,10^9,LOOKUP(2,1/($N$3:N37="鸡"),ROW($N$3:N37))),IF(COUNTIF($N$3:N37,"狗")=0,10^9,LOOKUP(2,1/($N$3:N37="狗"),ROW($N$3:N37))),IF(COUNTIF($N$3:N37,"猪")=0,10^9,LOOKUP(2,1/($N$3:N37="猪"),ROW($N$3:N37))))-ROW($N$3)+1),""))),0,IF(ISNUMBER(J37),J37+1,1)))</f>
        <v>7</v>
      </c>
      <c r="K38" s="5">
        <f t="shared" si="6"/>
        <v>8</v>
      </c>
      <c r="M38" s="6" t="str">
        <f t="shared" si="1"/>
        <v>3</v>
      </c>
      <c r="N38" s="2" t="str">
        <f t="shared" si="2"/>
        <v>猴</v>
      </c>
      <c r="O38" s="7" t="str">
        <f>IF(M38="","",IF(COUNTIF(M39:$M$1000,M38)&gt;0,"",M38))</f>
        <v/>
      </c>
      <c r="P38" s="8" t="str">
        <f>IF(N38="","",IF(COUNTIF(N39:$N$1000,N38)&gt;0,"",N38))</f>
        <v/>
      </c>
      <c r="Q38" s="21">
        <f t="shared" si="3"/>
        <v>96</v>
      </c>
      <c r="R38" s="22" t="str">
        <f t="shared" si="4"/>
        <v>羊</v>
      </c>
      <c r="X38" s="2">
        <v>35</v>
      </c>
      <c r="Y38" s="2" t="s">
        <v>26</v>
      </c>
    </row>
    <row r="39" s="1" customFormat="1" spans="1:25">
      <c r="A39" s="2">
        <v>115056674</v>
      </c>
      <c r="B39" s="2">
        <v>21</v>
      </c>
      <c r="C39" s="2">
        <v>11</v>
      </c>
      <c r="D39" s="2">
        <v>15</v>
      </c>
      <c r="E39" s="2">
        <v>42</v>
      </c>
      <c r="F39" s="2">
        <v>37</v>
      </c>
      <c r="G39" s="2">
        <v>47</v>
      </c>
      <c r="H39" s="3">
        <v>48</v>
      </c>
      <c r="I39" s="2" t="str">
        <f t="shared" si="0"/>
        <v>羊</v>
      </c>
      <c r="J39" s="4">
        <f>IF(H39="","",IF(OR(AND(M39&lt;&gt;"",M39=IFERROR(INDEX($M$3:M38,MIN(IF(COUNTIF($M$3:M38,"0")=0,10^9,LOOKUP(2,1/($M$3:M38="0"),ROW($M$3:M38))),IF(COUNTIF($M$3:M38,"1")=0,10^9,LOOKUP(2,1/($M$3:M38="1"),ROW($M$3:M38))),IF(COUNTIF($M$3:M38,"2")=0,10^9,LOOKUP(2,1/($M$3:M38="2"),ROW($M$3:M38))),IF(COUNTIF($M$3:M38,"3")=0,10^9,LOOKUP(2,1/($M$3:M38="3"),ROW($M$3:M38))),IF(COUNTIF($M$3:M38,"4")=0,10^9,LOOKUP(2,1/($M$3:M38="4"),ROW($M$3:M38))),IF(COUNTIF($M$3:M38,"5")=0,10^9,LOOKUP(2,1/($M$3:M38="5"),ROW($M$3:M38))),IF(COUNTIF($M$3:M38,"6")=0,10^9,LOOKUP(2,1/($M$3:M38="6"),ROW($M$3:M38))),IF(COUNTIF($M$3:M38,"7")=0,10^9,LOOKUP(2,1/($M$3:M38="7"),ROW($M$3:M38))),IF(COUNTIF($M$3:M38,"8")=0,10^9,LOOKUP(2,1/($M$3:M38="8"),ROW($M$3:M38))),IF(COUNTIF($M$3:M38,"9")=0,10^9,LOOKUP(2,1/($M$3:M38="9"),ROW($M$3:M38))))-ROW($M$3)+1),"")),AND(N39&lt;&gt;"",N39=IFERROR(INDEX($N$3:N38,MIN(IF(COUNTIF($N$3:N38,"鼠")=0,10^9,LOOKUP(2,1/($N$3:N38="鼠"),ROW($N$3:N38))),IF(COUNTIF($N$3:N38,"牛")=0,10^9,LOOKUP(2,1/($N$3:N38="牛"),ROW($N$3:N38))),IF(COUNTIF($N$3:N38,"虎")=0,10^9,LOOKUP(2,1/($N$3:N38="虎"),ROW($N$3:N38))),IF(COUNTIF($N$3:N38,"兔")=0,10^9,LOOKUP(2,1/($N$3:N38="兔"),ROW($N$3:N38))),IF(COUNTIF($N$3:N38,"龙")=0,10^9,LOOKUP(2,1/($N$3:N38="龙"),ROW($N$3:N38))),IF(COUNTIF($N$3:N38,"蛇")=0,10^9,LOOKUP(2,1/($N$3:N38="蛇"),ROW($N$3:N38))),IF(COUNTIF($N$3:N38,"马")=0,10^9,LOOKUP(2,1/($N$3:N38="马"),ROW($N$3:N38))),IF(COUNTIF($N$3:N38,"羊")=0,10^9,LOOKUP(2,1/($N$3:N38="羊"),ROW($N$3:N38))),IF(COUNTIF($N$3:N38,"猴")=0,10^9,LOOKUP(2,1/($N$3:N38="猴"),ROW($N$3:N38))),IF(COUNTIF($N$3:N38,"鸡")=0,10^9,LOOKUP(2,1/($N$3:N38="鸡"),ROW($N$3:N38))),IF(COUNTIF($N$3:N38,"狗")=0,10^9,LOOKUP(2,1/($N$3:N38="狗"),ROW($N$3:N38))),IF(COUNTIF($N$3:N38,"猪")=0,10^9,LOOKUP(2,1/($N$3:N38="猪"),ROW($N$3:N38))))-ROW($N$3)+1),""))),0,IF(ISNUMBER(J38),J38+1,1)))</f>
        <v>8</v>
      </c>
      <c r="K39" s="5">
        <f t="shared" si="6"/>
        <v>0</v>
      </c>
      <c r="M39" s="6" t="str">
        <f t="shared" si="1"/>
        <v>8</v>
      </c>
      <c r="N39" s="2" t="str">
        <f t="shared" si="2"/>
        <v>羊</v>
      </c>
      <c r="O39" s="7" t="str">
        <f>IF(M39="","",IF(COUNTIF(M40:$M$1000,M39)&gt;0,"",M39))</f>
        <v/>
      </c>
      <c r="P39" s="8" t="str">
        <f>IF(N39="","",IF(COUNTIF(N40:$N$1000,N39)&gt;0,"",N39))</f>
        <v/>
      </c>
      <c r="Q39" s="21">
        <f t="shared" si="3"/>
        <v>113</v>
      </c>
      <c r="R39" s="22" t="str">
        <f t="shared" si="4"/>
        <v>虎</v>
      </c>
      <c r="X39" s="2">
        <v>47</v>
      </c>
      <c r="Y39" s="2" t="s">
        <v>26</v>
      </c>
    </row>
    <row r="40" s="1" customFormat="1" spans="1:25">
      <c r="A40" s="2">
        <v>115056675</v>
      </c>
      <c r="B40" s="2">
        <v>21</v>
      </c>
      <c r="C40" s="2">
        <v>13</v>
      </c>
      <c r="D40" s="2">
        <v>18</v>
      </c>
      <c r="E40" s="2">
        <v>48</v>
      </c>
      <c r="F40" s="2">
        <v>34</v>
      </c>
      <c r="G40" s="2">
        <v>37</v>
      </c>
      <c r="H40" s="3">
        <v>29</v>
      </c>
      <c r="I40" s="2" t="str">
        <f t="shared" si="0"/>
        <v>虎</v>
      </c>
      <c r="J40" s="4">
        <f>IF(H40="","",IF(OR(AND(M40&lt;&gt;"",M40=IFERROR(INDEX($M$3:M39,MIN(IF(COUNTIF($M$3:M39,"0")=0,10^9,LOOKUP(2,1/($M$3:M39="0"),ROW($M$3:M39))),IF(COUNTIF($M$3:M39,"1")=0,10^9,LOOKUP(2,1/($M$3:M39="1"),ROW($M$3:M39))),IF(COUNTIF($M$3:M39,"2")=0,10^9,LOOKUP(2,1/($M$3:M39="2"),ROW($M$3:M39))),IF(COUNTIF($M$3:M39,"3")=0,10^9,LOOKUP(2,1/($M$3:M39="3"),ROW($M$3:M39))),IF(COUNTIF($M$3:M39,"4")=0,10^9,LOOKUP(2,1/($M$3:M39="4"),ROW($M$3:M39))),IF(COUNTIF($M$3:M39,"5")=0,10^9,LOOKUP(2,1/($M$3:M39="5"),ROW($M$3:M39))),IF(COUNTIF($M$3:M39,"6")=0,10^9,LOOKUP(2,1/($M$3:M39="6"),ROW($M$3:M39))),IF(COUNTIF($M$3:M39,"7")=0,10^9,LOOKUP(2,1/($M$3:M39="7"),ROW($M$3:M39))),IF(COUNTIF($M$3:M39,"8")=0,10^9,LOOKUP(2,1/($M$3:M39="8"),ROW($M$3:M39))),IF(COUNTIF($M$3:M39,"9")=0,10^9,LOOKUP(2,1/($M$3:M39="9"),ROW($M$3:M39))))-ROW($M$3)+1),"")),AND(N40&lt;&gt;"",N40=IFERROR(INDEX($N$3:N39,MIN(IF(COUNTIF($N$3:N39,"鼠")=0,10^9,LOOKUP(2,1/($N$3:N39="鼠"),ROW($N$3:N39))),IF(COUNTIF($N$3:N39,"牛")=0,10^9,LOOKUP(2,1/($N$3:N39="牛"),ROW($N$3:N39))),IF(COUNTIF($N$3:N39,"虎")=0,10^9,LOOKUP(2,1/($N$3:N39="虎"),ROW($N$3:N39))),IF(COUNTIF($N$3:N39,"兔")=0,10^9,LOOKUP(2,1/($N$3:N39="兔"),ROW($N$3:N39))),IF(COUNTIF($N$3:N39,"龙")=0,10^9,LOOKUP(2,1/($N$3:N39="龙"),ROW($N$3:N39))),IF(COUNTIF($N$3:N39,"蛇")=0,10^9,LOOKUP(2,1/($N$3:N39="蛇"),ROW($N$3:N39))),IF(COUNTIF($N$3:N39,"马")=0,10^9,LOOKUP(2,1/($N$3:N39="马"),ROW($N$3:N39))),IF(COUNTIF($N$3:N39,"羊")=0,10^9,LOOKUP(2,1/($N$3:N39="羊"),ROW($N$3:N39))),IF(COUNTIF($N$3:N39,"猴")=0,10^9,LOOKUP(2,1/($N$3:N39="猴"),ROW($N$3:N39))),IF(COUNTIF($N$3:N39,"鸡")=0,10^9,LOOKUP(2,1/($N$3:N39="鸡"),ROW($N$3:N39))),IF(COUNTIF($N$3:N39,"狗")=0,10^9,LOOKUP(2,1/($N$3:N39="狗"),ROW($N$3:N39))),IF(COUNTIF($N$3:N39,"猪")=0,10^9,LOOKUP(2,1/($N$3:N39="猪"),ROW($N$3:N39))))-ROW($N$3)+1),""))),0,IF(ISNUMBER(J39),J39+1,1)))</f>
        <v>9</v>
      </c>
      <c r="K40" s="5">
        <f t="shared" si="6"/>
        <v>0</v>
      </c>
      <c r="M40" s="6" t="str">
        <f t="shared" si="1"/>
        <v>9</v>
      </c>
      <c r="N40" s="2" t="str">
        <f t="shared" si="2"/>
        <v>虎</v>
      </c>
      <c r="O40" s="7" t="str">
        <f>IF(M40="","",IF(COUNTIF(M41:$M$1000,M40)&gt;0,"",M40))</f>
        <v/>
      </c>
      <c r="P40" s="8" t="str">
        <f>IF(N40="","",IF(COUNTIF(N41:$N$1000,N40)&gt;0,"",N40))</f>
        <v/>
      </c>
      <c r="Q40" s="21">
        <f t="shared" si="3"/>
        <v>106</v>
      </c>
      <c r="R40" s="22" t="str">
        <f t="shared" si="4"/>
        <v>鸡</v>
      </c>
      <c r="X40" s="2">
        <v>10</v>
      </c>
      <c r="Y40" s="2" t="s">
        <v>27</v>
      </c>
    </row>
    <row r="41" s="1" customFormat="1" spans="1:25">
      <c r="A41" s="2">
        <v>115056676</v>
      </c>
      <c r="B41" s="2">
        <v>16</v>
      </c>
      <c r="C41" s="2">
        <v>28</v>
      </c>
      <c r="D41" s="2">
        <v>27</v>
      </c>
      <c r="E41" s="2">
        <v>41</v>
      </c>
      <c r="F41" s="2">
        <v>17</v>
      </c>
      <c r="G41" s="2">
        <v>12</v>
      </c>
      <c r="H41" s="3">
        <v>13</v>
      </c>
      <c r="I41" s="2" t="str">
        <f t="shared" si="0"/>
        <v>马</v>
      </c>
      <c r="J41" s="4">
        <f>IF(H41="","",IF(OR(AND(M41&lt;&gt;"",M41=IFERROR(INDEX($M$3:M40,MIN(IF(COUNTIF($M$3:M40,"0")=0,10^9,LOOKUP(2,1/($M$3:M40="0"),ROW($M$3:M40))),IF(COUNTIF($M$3:M40,"1")=0,10^9,LOOKUP(2,1/($M$3:M40="1"),ROW($M$3:M40))),IF(COUNTIF($M$3:M40,"2")=0,10^9,LOOKUP(2,1/($M$3:M40="2"),ROW($M$3:M40))),IF(COUNTIF($M$3:M40,"3")=0,10^9,LOOKUP(2,1/($M$3:M40="3"),ROW($M$3:M40))),IF(COUNTIF($M$3:M40,"4")=0,10^9,LOOKUP(2,1/($M$3:M40="4"),ROW($M$3:M40))),IF(COUNTIF($M$3:M40,"5")=0,10^9,LOOKUP(2,1/($M$3:M40="5"),ROW($M$3:M40))),IF(COUNTIF($M$3:M40,"6")=0,10^9,LOOKUP(2,1/($M$3:M40="6"),ROW($M$3:M40))),IF(COUNTIF($M$3:M40,"7")=0,10^9,LOOKUP(2,1/($M$3:M40="7"),ROW($M$3:M40))),IF(COUNTIF($M$3:M40,"8")=0,10^9,LOOKUP(2,1/($M$3:M40="8"),ROW($M$3:M40))),IF(COUNTIF($M$3:M40,"9")=0,10^9,LOOKUP(2,1/($M$3:M40="9"),ROW($M$3:M40))))-ROW($M$3)+1),"")),AND(N41&lt;&gt;"",N41=IFERROR(INDEX($N$3:N40,MIN(IF(COUNTIF($N$3:N40,"鼠")=0,10^9,LOOKUP(2,1/($N$3:N40="鼠"),ROW($N$3:N40))),IF(COUNTIF($N$3:N40,"牛")=0,10^9,LOOKUP(2,1/($N$3:N40="牛"),ROW($N$3:N40))),IF(COUNTIF($N$3:N40,"虎")=0,10^9,LOOKUP(2,1/($N$3:N40="虎"),ROW($N$3:N40))),IF(COUNTIF($N$3:N40,"兔")=0,10^9,LOOKUP(2,1/($N$3:N40="兔"),ROW($N$3:N40))),IF(COUNTIF($N$3:N40,"龙")=0,10^9,LOOKUP(2,1/($N$3:N40="龙"),ROW($N$3:N40))),IF(COUNTIF($N$3:N40,"蛇")=0,10^9,LOOKUP(2,1/($N$3:N40="蛇"),ROW($N$3:N40))),IF(COUNTIF($N$3:N40,"马")=0,10^9,LOOKUP(2,1/($N$3:N40="马"),ROW($N$3:N40))),IF(COUNTIF($N$3:N40,"羊")=0,10^9,LOOKUP(2,1/($N$3:N40="羊"),ROW($N$3:N40))),IF(COUNTIF($N$3:N40,"猴")=0,10^9,LOOKUP(2,1/($N$3:N40="猴"),ROW($N$3:N40))),IF(COUNTIF($N$3:N40,"鸡")=0,10^9,LOOKUP(2,1/($N$3:N40="鸡"),ROW($N$3:N40))),IF(COUNTIF($N$3:N40,"狗")=0,10^9,LOOKUP(2,1/($N$3:N40="狗"),ROW($N$3:N40))),IF(COUNTIF($N$3:N40,"猪")=0,10^9,LOOKUP(2,1/($N$3:N40="猪"),ROW($N$3:N40))))-ROW($N$3)+1),""))),0,IF(ISNUMBER(J40),J40+1,1)))</f>
        <v>10</v>
      </c>
      <c r="K41" s="5">
        <f t="shared" si="6"/>
        <v>1</v>
      </c>
      <c r="M41" s="6" t="str">
        <f t="shared" si="1"/>
        <v>3</v>
      </c>
      <c r="N41" s="2" t="str">
        <f t="shared" si="2"/>
        <v>马</v>
      </c>
      <c r="O41" s="7" t="str">
        <f>IF(M41="","",IF(COUNTIF(M42:$M$1000,M41)&gt;0,"",M41))</f>
        <v/>
      </c>
      <c r="P41" s="8" t="str">
        <f>IF(N41="","",IF(COUNTIF(N42:$N$1000,N41)&gt;0,"",N41))</f>
        <v/>
      </c>
      <c r="Q41" s="21">
        <f t="shared" si="3"/>
        <v>84</v>
      </c>
      <c r="R41" s="22" t="str">
        <f t="shared" si="4"/>
        <v>羊</v>
      </c>
      <c r="X41" s="2">
        <v>22</v>
      </c>
      <c r="Y41" s="2" t="s">
        <v>27</v>
      </c>
    </row>
    <row r="42" s="1" customFormat="1" spans="1:25">
      <c r="A42" s="2">
        <v>115056677</v>
      </c>
      <c r="B42" s="2">
        <v>9</v>
      </c>
      <c r="C42" s="2">
        <v>32</v>
      </c>
      <c r="D42" s="2">
        <v>14</v>
      </c>
      <c r="E42" s="2">
        <v>16</v>
      </c>
      <c r="F42" s="2">
        <v>18</v>
      </c>
      <c r="G42" s="2">
        <v>42</v>
      </c>
      <c r="H42" s="3">
        <v>20</v>
      </c>
      <c r="I42" s="2" t="str">
        <f t="shared" si="0"/>
        <v>猪</v>
      </c>
      <c r="J42" s="4">
        <f>IF(H42="","",IF(OR(AND(M42&lt;&gt;"",M42=IFERROR(INDEX($M$3:M41,MIN(IF(COUNTIF($M$3:M41,"0")=0,10^9,LOOKUP(2,1/($M$3:M41="0"),ROW($M$3:M41))),IF(COUNTIF($M$3:M41,"1")=0,10^9,LOOKUP(2,1/($M$3:M41="1"),ROW($M$3:M41))),IF(COUNTIF($M$3:M41,"2")=0,10^9,LOOKUP(2,1/($M$3:M41="2"),ROW($M$3:M41))),IF(COUNTIF($M$3:M41,"3")=0,10^9,LOOKUP(2,1/($M$3:M41="3"),ROW($M$3:M41))),IF(COUNTIF($M$3:M41,"4")=0,10^9,LOOKUP(2,1/($M$3:M41="4"),ROW($M$3:M41))),IF(COUNTIF($M$3:M41,"5")=0,10^9,LOOKUP(2,1/($M$3:M41="5"),ROW($M$3:M41))),IF(COUNTIF($M$3:M41,"6")=0,10^9,LOOKUP(2,1/($M$3:M41="6"),ROW($M$3:M41))),IF(COUNTIF($M$3:M41,"7")=0,10^9,LOOKUP(2,1/($M$3:M41="7"),ROW($M$3:M41))),IF(COUNTIF($M$3:M41,"8")=0,10^9,LOOKUP(2,1/($M$3:M41="8"),ROW($M$3:M41))),IF(COUNTIF($M$3:M41,"9")=0,10^9,LOOKUP(2,1/($M$3:M41="9"),ROW($M$3:M41))))-ROW($M$3)+1),"")),AND(N42&lt;&gt;"",N42=IFERROR(INDEX($N$3:N41,MIN(IF(COUNTIF($N$3:N41,"鼠")=0,10^9,LOOKUP(2,1/($N$3:N41="鼠"),ROW($N$3:N41))),IF(COUNTIF($N$3:N41,"牛")=0,10^9,LOOKUP(2,1/($N$3:N41="牛"),ROW($N$3:N41))),IF(COUNTIF($N$3:N41,"虎")=0,10^9,LOOKUP(2,1/($N$3:N41="虎"),ROW($N$3:N41))),IF(COUNTIF($N$3:N41,"兔")=0,10^9,LOOKUP(2,1/($N$3:N41="兔"),ROW($N$3:N41))),IF(COUNTIF($N$3:N41,"龙")=0,10^9,LOOKUP(2,1/($N$3:N41="龙"),ROW($N$3:N41))),IF(COUNTIF($N$3:N41,"蛇")=0,10^9,LOOKUP(2,1/($N$3:N41="蛇"),ROW($N$3:N41))),IF(COUNTIF($N$3:N41,"马")=0,10^9,LOOKUP(2,1/($N$3:N41="马"),ROW($N$3:N41))),IF(COUNTIF($N$3:N41,"羊")=0,10^9,LOOKUP(2,1/($N$3:N41="羊"),ROW($N$3:N41))),IF(COUNTIF($N$3:N41,"猴")=0,10^9,LOOKUP(2,1/($N$3:N41="猴"),ROW($N$3:N41))),IF(COUNTIF($N$3:N41,"鸡")=0,10^9,LOOKUP(2,1/($N$3:N41="鸡"),ROW($N$3:N41))),IF(COUNTIF($N$3:N41,"狗")=0,10^9,LOOKUP(2,1/($N$3:N41="狗"),ROW($N$3:N41))),IF(COUNTIF($N$3:N41,"猪")=0,10^9,LOOKUP(2,1/($N$3:N41="猪"),ROW($N$3:N41))))-ROW($N$3)+1),""))),0,IF(ISNUMBER(J41),J41+1,1)))</f>
        <v>11</v>
      </c>
      <c r="K42" s="5">
        <f t="shared" si="6"/>
        <v>2</v>
      </c>
      <c r="M42" s="6" t="str">
        <f t="shared" si="1"/>
        <v>0</v>
      </c>
      <c r="N42" s="2" t="str">
        <f t="shared" si="2"/>
        <v>猪</v>
      </c>
      <c r="O42" s="7" t="str">
        <f>IF(M42="","",IF(COUNTIF(M43:$M$1000,M42)&gt;0,"",M42))</f>
        <v/>
      </c>
      <c r="P42" s="8" t="str">
        <f>IF(N42="","",IF(COUNTIF(N43:$N$1000,N42)&gt;0,"",N42))</f>
        <v/>
      </c>
      <c r="Q42" s="21">
        <f t="shared" si="3"/>
        <v>81</v>
      </c>
      <c r="R42" s="22" t="str">
        <f t="shared" si="4"/>
        <v>狗</v>
      </c>
      <c r="X42" s="2">
        <v>34</v>
      </c>
      <c r="Y42" s="2" t="s">
        <v>27</v>
      </c>
    </row>
    <row r="43" s="1" customFormat="1" spans="1:25">
      <c r="A43" s="2">
        <v>115056678</v>
      </c>
      <c r="B43" s="2">
        <v>26</v>
      </c>
      <c r="C43" s="2">
        <v>7</v>
      </c>
      <c r="D43" s="2">
        <v>22</v>
      </c>
      <c r="E43" s="2">
        <v>47</v>
      </c>
      <c r="F43" s="2">
        <v>1</v>
      </c>
      <c r="G43" s="2">
        <v>30</v>
      </c>
      <c r="H43" s="3">
        <v>33</v>
      </c>
      <c r="I43" s="2" t="str">
        <f t="shared" si="0"/>
        <v>狗</v>
      </c>
      <c r="J43" s="4">
        <f>IF(H43="","",IF(OR(AND(M43&lt;&gt;"",M43=IFERROR(INDEX($M$3:M42,MIN(IF(COUNTIF($M$3:M42,"0")=0,10^9,LOOKUP(2,1/($M$3:M42="0"),ROW($M$3:M42))),IF(COUNTIF($M$3:M42,"1")=0,10^9,LOOKUP(2,1/($M$3:M42="1"),ROW($M$3:M42))),IF(COUNTIF($M$3:M42,"2")=0,10^9,LOOKUP(2,1/($M$3:M42="2"),ROW($M$3:M42))),IF(COUNTIF($M$3:M42,"3")=0,10^9,LOOKUP(2,1/($M$3:M42="3"),ROW($M$3:M42))),IF(COUNTIF($M$3:M42,"4")=0,10^9,LOOKUP(2,1/($M$3:M42="4"),ROW($M$3:M42))),IF(COUNTIF($M$3:M42,"5")=0,10^9,LOOKUP(2,1/($M$3:M42="5"),ROW($M$3:M42))),IF(COUNTIF($M$3:M42,"6")=0,10^9,LOOKUP(2,1/($M$3:M42="6"),ROW($M$3:M42))),IF(COUNTIF($M$3:M42,"7")=0,10^9,LOOKUP(2,1/($M$3:M42="7"),ROW($M$3:M42))),IF(COUNTIF($M$3:M42,"8")=0,10^9,LOOKUP(2,1/($M$3:M42="8"),ROW($M$3:M42))),IF(COUNTIF($M$3:M42,"9")=0,10^9,LOOKUP(2,1/($M$3:M42="9"),ROW($M$3:M42))))-ROW($M$3)+1),"")),AND(N43&lt;&gt;"",N43=IFERROR(INDEX($N$3:N42,MIN(IF(COUNTIF($N$3:N42,"鼠")=0,10^9,LOOKUP(2,1/($N$3:N42="鼠"),ROW($N$3:N42))),IF(COUNTIF($N$3:N42,"牛")=0,10^9,LOOKUP(2,1/($N$3:N42="牛"),ROW($N$3:N42))),IF(COUNTIF($N$3:N42,"虎")=0,10^9,LOOKUP(2,1/($N$3:N42="虎"),ROW($N$3:N42))),IF(COUNTIF($N$3:N42,"兔")=0,10^9,LOOKUP(2,1/($N$3:N42="兔"),ROW($N$3:N42))),IF(COUNTIF($N$3:N42,"龙")=0,10^9,LOOKUP(2,1/($N$3:N42="龙"),ROW($N$3:N42))),IF(COUNTIF($N$3:N42,"蛇")=0,10^9,LOOKUP(2,1/($N$3:N42="蛇"),ROW($N$3:N42))),IF(COUNTIF($N$3:N42,"马")=0,10^9,LOOKUP(2,1/($N$3:N42="马"),ROW($N$3:N42))),IF(COUNTIF($N$3:N42,"羊")=0,10^9,LOOKUP(2,1/($N$3:N42="羊"),ROW($N$3:N42))),IF(COUNTIF($N$3:N42,"猴")=0,10^9,LOOKUP(2,1/($N$3:N42="猴"),ROW($N$3:N42))),IF(COUNTIF($N$3:N42,"鸡")=0,10^9,LOOKUP(2,1/($N$3:N42="鸡"),ROW($N$3:N42))),IF(COUNTIF($N$3:N42,"狗")=0,10^9,LOOKUP(2,1/($N$3:N42="狗"),ROW($N$3:N42))),IF(COUNTIF($N$3:N42,"猪")=0,10^9,LOOKUP(2,1/($N$3:N42="猪"),ROW($N$3:N42))))-ROW($N$3)+1),""))),0,IF(ISNUMBER(J42),J42+1,1)))</f>
        <v>12</v>
      </c>
      <c r="K43" s="5">
        <f t="shared" si="6"/>
        <v>0</v>
      </c>
      <c r="M43" s="6" t="str">
        <f t="shared" si="1"/>
        <v>3</v>
      </c>
      <c r="N43" s="2" t="str">
        <f t="shared" si="2"/>
        <v>狗</v>
      </c>
      <c r="O43" s="7" t="str">
        <f>IF(M43="","",IF(COUNTIF(M44:$M$1000,M43)&gt;0,"",M43))</f>
        <v/>
      </c>
      <c r="P43" s="8" t="str">
        <f>IF(N43="","",IF(COUNTIF(N44:$N$1000,N43)&gt;0,"",N43))</f>
        <v/>
      </c>
      <c r="Q43" s="21">
        <f t="shared" si="3"/>
        <v>98</v>
      </c>
      <c r="R43" s="22" t="str">
        <f t="shared" si="4"/>
        <v>蛇</v>
      </c>
      <c r="X43" s="2">
        <v>46</v>
      </c>
      <c r="Y43" s="2" t="s">
        <v>27</v>
      </c>
    </row>
    <row r="44" s="1" customFormat="1" spans="1:25">
      <c r="A44" s="2">
        <v>115056679</v>
      </c>
      <c r="B44" s="2">
        <v>26</v>
      </c>
      <c r="C44" s="2">
        <v>13</v>
      </c>
      <c r="D44" s="2">
        <v>47</v>
      </c>
      <c r="E44" s="2">
        <v>48</v>
      </c>
      <c r="F44" s="2">
        <v>23</v>
      </c>
      <c r="G44" s="2">
        <v>21</v>
      </c>
      <c r="H44" s="3">
        <v>39</v>
      </c>
      <c r="I44" s="2" t="str">
        <f t="shared" si="0"/>
        <v>龙</v>
      </c>
      <c r="J44" s="4">
        <f>IF(H44="","",IF(OR(AND(M44&lt;&gt;"",M44=IFERROR(INDEX($M$3:M43,MIN(IF(COUNTIF($M$3:M43,"0")=0,10^9,LOOKUP(2,1/($M$3:M43="0"),ROW($M$3:M43))),IF(COUNTIF($M$3:M43,"1")=0,10^9,LOOKUP(2,1/($M$3:M43="1"),ROW($M$3:M43))),IF(COUNTIF($M$3:M43,"2")=0,10^9,LOOKUP(2,1/($M$3:M43="2"),ROW($M$3:M43))),IF(COUNTIF($M$3:M43,"3")=0,10^9,LOOKUP(2,1/($M$3:M43="3"),ROW($M$3:M43))),IF(COUNTIF($M$3:M43,"4")=0,10^9,LOOKUP(2,1/($M$3:M43="4"),ROW($M$3:M43))),IF(COUNTIF($M$3:M43,"5")=0,10^9,LOOKUP(2,1/($M$3:M43="5"),ROW($M$3:M43))),IF(COUNTIF($M$3:M43,"6")=0,10^9,LOOKUP(2,1/($M$3:M43="6"),ROW($M$3:M43))),IF(COUNTIF($M$3:M43,"7")=0,10^9,LOOKUP(2,1/($M$3:M43="7"),ROW($M$3:M43))),IF(COUNTIF($M$3:M43,"8")=0,10^9,LOOKUP(2,1/($M$3:M43="8"),ROW($M$3:M43))),IF(COUNTIF($M$3:M43,"9")=0,10^9,LOOKUP(2,1/($M$3:M43="9"),ROW($M$3:M43))))-ROW($M$3)+1),"")),AND(N44&lt;&gt;"",N44=IFERROR(INDEX($N$3:N43,MIN(IF(COUNTIF($N$3:N43,"鼠")=0,10^9,LOOKUP(2,1/($N$3:N43="鼠"),ROW($N$3:N43))),IF(COUNTIF($N$3:N43,"牛")=0,10^9,LOOKUP(2,1/($N$3:N43="牛"),ROW($N$3:N43))),IF(COUNTIF($N$3:N43,"虎")=0,10^9,LOOKUP(2,1/($N$3:N43="虎"),ROW($N$3:N43))),IF(COUNTIF($N$3:N43,"兔")=0,10^9,LOOKUP(2,1/($N$3:N43="兔"),ROW($N$3:N43))),IF(COUNTIF($N$3:N43,"龙")=0,10^9,LOOKUP(2,1/($N$3:N43="龙"),ROW($N$3:N43))),IF(COUNTIF($N$3:N43,"蛇")=0,10^9,LOOKUP(2,1/($N$3:N43="蛇"),ROW($N$3:N43))),IF(COUNTIF($N$3:N43,"马")=0,10^9,LOOKUP(2,1/($N$3:N43="马"),ROW($N$3:N43))),IF(COUNTIF($N$3:N43,"羊")=0,10^9,LOOKUP(2,1/($N$3:N43="羊"),ROW($N$3:N43))),IF(COUNTIF($N$3:N43,"猴")=0,10^9,LOOKUP(2,1/($N$3:N43="猴"),ROW($N$3:N43))),IF(COUNTIF($N$3:N43,"鸡")=0,10^9,LOOKUP(2,1/($N$3:N43="鸡"),ROW($N$3:N43))),IF(COUNTIF($N$3:N43,"狗")=0,10^9,LOOKUP(2,1/($N$3:N43="狗"),ROW($N$3:N43))),IF(COUNTIF($N$3:N43,"猪")=0,10^9,LOOKUP(2,1/($N$3:N43="猪"),ROW($N$3:N43))))-ROW($N$3)+1),""))),0,IF(ISNUMBER(J43),J43+1,1)))</f>
        <v>13</v>
      </c>
      <c r="K44" s="5">
        <f t="shared" si="6"/>
        <v>1</v>
      </c>
      <c r="M44" s="6" t="str">
        <f t="shared" si="1"/>
        <v>9</v>
      </c>
      <c r="N44" s="2" t="str">
        <f t="shared" si="2"/>
        <v>龙</v>
      </c>
      <c r="O44" s="7" t="str">
        <f>IF(M44="","",IF(COUNTIF(M45:$M$1000,M44)&gt;0,"",M44))</f>
        <v/>
      </c>
      <c r="P44" s="8" t="str">
        <f>IF(N44="","",IF(COUNTIF(N45:$N$1000,N44)&gt;0,"",N44))</f>
        <v/>
      </c>
      <c r="Q44" s="21">
        <f t="shared" si="3"/>
        <v>98</v>
      </c>
      <c r="R44" s="22" t="str">
        <f t="shared" si="4"/>
        <v>蛇</v>
      </c>
      <c r="X44" s="2">
        <v>9</v>
      </c>
      <c r="Y44" s="2" t="s">
        <v>28</v>
      </c>
    </row>
    <row r="45" s="1" customFormat="1" spans="1:25">
      <c r="A45" s="2">
        <v>115056680</v>
      </c>
      <c r="B45" s="2">
        <v>7</v>
      </c>
      <c r="C45" s="2">
        <v>9</v>
      </c>
      <c r="D45" s="2">
        <v>29</v>
      </c>
      <c r="E45" s="2">
        <v>16</v>
      </c>
      <c r="F45" s="2">
        <v>6</v>
      </c>
      <c r="G45" s="2">
        <v>26</v>
      </c>
      <c r="H45" s="3">
        <v>8</v>
      </c>
      <c r="I45" s="2" t="str">
        <f t="shared" si="0"/>
        <v>猪</v>
      </c>
      <c r="J45" s="4">
        <f>IF(H45="","",IF(OR(AND(M45&lt;&gt;"",M45=IFERROR(INDEX($M$3:M44,MIN(IF(COUNTIF($M$3:M44,"0")=0,10^9,LOOKUP(2,1/($M$3:M44="0"),ROW($M$3:M44))),IF(COUNTIF($M$3:M44,"1")=0,10^9,LOOKUP(2,1/($M$3:M44="1"),ROW($M$3:M44))),IF(COUNTIF($M$3:M44,"2")=0,10^9,LOOKUP(2,1/($M$3:M44="2"),ROW($M$3:M44))),IF(COUNTIF($M$3:M44,"3")=0,10^9,LOOKUP(2,1/($M$3:M44="3"),ROW($M$3:M44))),IF(COUNTIF($M$3:M44,"4")=0,10^9,LOOKUP(2,1/($M$3:M44="4"),ROW($M$3:M44))),IF(COUNTIF($M$3:M44,"5")=0,10^9,LOOKUP(2,1/($M$3:M44="5"),ROW($M$3:M44))),IF(COUNTIF($M$3:M44,"6")=0,10^9,LOOKUP(2,1/($M$3:M44="6"),ROW($M$3:M44))),IF(COUNTIF($M$3:M44,"7")=0,10^9,LOOKUP(2,1/($M$3:M44="7"),ROW($M$3:M44))),IF(COUNTIF($M$3:M44,"8")=0,10^9,LOOKUP(2,1/($M$3:M44="8"),ROW($M$3:M44))),IF(COUNTIF($M$3:M44,"9")=0,10^9,LOOKUP(2,1/($M$3:M44="9"),ROW($M$3:M44))))-ROW($M$3)+1),"")),AND(N45&lt;&gt;"",N45=IFERROR(INDEX($N$3:N44,MIN(IF(COUNTIF($N$3:N44,"鼠")=0,10^9,LOOKUP(2,1/($N$3:N44="鼠"),ROW($N$3:N44))),IF(COUNTIF($N$3:N44,"牛")=0,10^9,LOOKUP(2,1/($N$3:N44="牛"),ROW($N$3:N44))),IF(COUNTIF($N$3:N44,"虎")=0,10^9,LOOKUP(2,1/($N$3:N44="虎"),ROW($N$3:N44))),IF(COUNTIF($N$3:N44,"兔")=0,10^9,LOOKUP(2,1/($N$3:N44="兔"),ROW($N$3:N44))),IF(COUNTIF($N$3:N44,"龙")=0,10^9,LOOKUP(2,1/($N$3:N44="龙"),ROW($N$3:N44))),IF(COUNTIF($N$3:N44,"蛇")=0,10^9,LOOKUP(2,1/($N$3:N44="蛇"),ROW($N$3:N44))),IF(COUNTIF($N$3:N44,"马")=0,10^9,LOOKUP(2,1/($N$3:N44="马"),ROW($N$3:N44))),IF(COUNTIF($N$3:N44,"羊")=0,10^9,LOOKUP(2,1/($N$3:N44="羊"),ROW($N$3:N44))),IF(COUNTIF($N$3:N44,"猴")=0,10^9,LOOKUP(2,1/($N$3:N44="猴"),ROW($N$3:N44))),IF(COUNTIF($N$3:N44,"鸡")=0,10^9,LOOKUP(2,1/($N$3:N44="鸡"),ROW($N$3:N44))),IF(COUNTIF($N$3:N44,"狗")=0,10^9,LOOKUP(2,1/($N$3:N44="狗"),ROW($N$3:N44))),IF(COUNTIF($N$3:N44,"猪")=0,10^9,LOOKUP(2,1/($N$3:N44="猪"),ROW($N$3:N44))))-ROW($N$3)+1),""))),0,IF(ISNUMBER(J44),J44+1,1)))</f>
        <v>14</v>
      </c>
      <c r="K45" s="5">
        <f t="shared" si="6"/>
        <v>2</v>
      </c>
      <c r="M45" s="6" t="str">
        <f t="shared" si="1"/>
        <v>8</v>
      </c>
      <c r="N45" s="2" t="str">
        <f t="shared" si="2"/>
        <v>猪</v>
      </c>
      <c r="O45" s="7" t="str">
        <f>IF(M45="","",IF(COUNTIF(M46:$M$1000,M45)&gt;0,"",M45))</f>
        <v/>
      </c>
      <c r="P45" s="8" t="str">
        <f>IF(N45="","",IF(COUNTIF(N46:$N$1000,N45)&gt;0,"",N45))</f>
        <v/>
      </c>
      <c r="Q45" s="21">
        <f t="shared" si="3"/>
        <v>74</v>
      </c>
      <c r="R45" s="22" t="str">
        <f t="shared" si="4"/>
        <v>蛇</v>
      </c>
      <c r="X45" s="2">
        <v>21</v>
      </c>
      <c r="Y45" s="2" t="s">
        <v>28</v>
      </c>
    </row>
    <row r="46" s="1" customFormat="1" spans="1:25">
      <c r="A46" s="2">
        <v>115056681</v>
      </c>
      <c r="B46" s="2">
        <v>40</v>
      </c>
      <c r="C46" s="2">
        <v>4</v>
      </c>
      <c r="D46" s="2">
        <v>42</v>
      </c>
      <c r="E46" s="2">
        <v>32</v>
      </c>
      <c r="F46" s="2">
        <v>10</v>
      </c>
      <c r="G46" s="2">
        <v>15</v>
      </c>
      <c r="H46" s="3">
        <v>14</v>
      </c>
      <c r="I46" s="2" t="str">
        <f t="shared" si="0"/>
        <v>蛇</v>
      </c>
      <c r="J46" s="4">
        <f>IF(H46="","",IF(OR(AND(M46&lt;&gt;"",M46=IFERROR(INDEX($M$3:M45,MIN(IF(COUNTIF($M$3:M45,"0")=0,10^9,LOOKUP(2,1/($M$3:M45="0"),ROW($M$3:M45))),IF(COUNTIF($M$3:M45,"1")=0,10^9,LOOKUP(2,1/($M$3:M45="1"),ROW($M$3:M45))),IF(COUNTIF($M$3:M45,"2")=0,10^9,LOOKUP(2,1/($M$3:M45="2"),ROW($M$3:M45))),IF(COUNTIF($M$3:M45,"3")=0,10^9,LOOKUP(2,1/($M$3:M45="3"),ROW($M$3:M45))),IF(COUNTIF($M$3:M45,"4")=0,10^9,LOOKUP(2,1/($M$3:M45="4"),ROW($M$3:M45))),IF(COUNTIF($M$3:M45,"5")=0,10^9,LOOKUP(2,1/($M$3:M45="5"),ROW($M$3:M45))),IF(COUNTIF($M$3:M45,"6")=0,10^9,LOOKUP(2,1/($M$3:M45="6"),ROW($M$3:M45))),IF(COUNTIF($M$3:M45,"7")=0,10^9,LOOKUP(2,1/($M$3:M45="7"),ROW($M$3:M45))),IF(COUNTIF($M$3:M45,"8")=0,10^9,LOOKUP(2,1/($M$3:M45="8"),ROW($M$3:M45))),IF(COUNTIF($M$3:M45,"9")=0,10^9,LOOKUP(2,1/($M$3:M45="9"),ROW($M$3:M45))))-ROW($M$3)+1),"")),AND(N46&lt;&gt;"",N46=IFERROR(INDEX($N$3:N45,MIN(IF(COUNTIF($N$3:N45,"鼠")=0,10^9,LOOKUP(2,1/($N$3:N45="鼠"),ROW($N$3:N45))),IF(COUNTIF($N$3:N45,"牛")=0,10^9,LOOKUP(2,1/($N$3:N45="牛"),ROW($N$3:N45))),IF(COUNTIF($N$3:N45,"虎")=0,10^9,LOOKUP(2,1/($N$3:N45="虎"),ROW($N$3:N45))),IF(COUNTIF($N$3:N45,"兔")=0,10^9,LOOKUP(2,1/($N$3:N45="兔"),ROW($N$3:N45))),IF(COUNTIF($N$3:N45,"龙")=0,10^9,LOOKUP(2,1/($N$3:N45="龙"),ROW($N$3:N45))),IF(COUNTIF($N$3:N45,"蛇")=0,10^9,LOOKUP(2,1/($N$3:N45="蛇"),ROW($N$3:N45))),IF(COUNTIF($N$3:N45,"马")=0,10^9,LOOKUP(2,1/($N$3:N45="马"),ROW($N$3:N45))),IF(COUNTIF($N$3:N45,"羊")=0,10^9,LOOKUP(2,1/($N$3:N45="羊"),ROW($N$3:N45))),IF(COUNTIF($N$3:N45,"猴")=0,10^9,LOOKUP(2,1/($N$3:N45="猴"),ROW($N$3:N45))),IF(COUNTIF($N$3:N45,"鸡")=0,10^9,LOOKUP(2,1/($N$3:N45="鸡"),ROW($N$3:N45))),IF(COUNTIF($N$3:N45,"狗")=0,10^9,LOOKUP(2,1/($N$3:N45="狗"),ROW($N$3:N45))),IF(COUNTIF($N$3:N45,"猪")=0,10^9,LOOKUP(2,1/($N$3:N45="猪"),ROW($N$3:N45))))-ROW($N$3)+1),""))),0,IF(ISNUMBER(J45),J45+1,1)))</f>
        <v>0</v>
      </c>
      <c r="K46" s="5">
        <f t="shared" si="6"/>
        <v>0</v>
      </c>
      <c r="M46" s="6" t="str">
        <f t="shared" si="1"/>
        <v>4</v>
      </c>
      <c r="N46" s="2" t="str">
        <f t="shared" si="2"/>
        <v>蛇</v>
      </c>
      <c r="O46" s="7" t="str">
        <f>IF(M46="","",IF(COUNTIF(M47:$M$1000,M46)&gt;0,"",M46))</f>
        <v/>
      </c>
      <c r="P46" s="8" t="str">
        <f>IF(N46="","",IF(COUNTIF(N47:$N$1000,N46)&gt;0,"",N46))</f>
        <v/>
      </c>
      <c r="Q46" s="21">
        <f t="shared" si="3"/>
        <v>96</v>
      </c>
      <c r="R46" s="22" t="str">
        <f t="shared" si="4"/>
        <v>羊</v>
      </c>
      <c r="X46" s="2">
        <v>33</v>
      </c>
      <c r="Y46" s="2" t="s">
        <v>28</v>
      </c>
    </row>
    <row r="47" s="1" customFormat="1" spans="1:25">
      <c r="A47" s="2">
        <v>115056682</v>
      </c>
      <c r="B47" s="2">
        <v>44</v>
      </c>
      <c r="C47" s="2">
        <v>35</v>
      </c>
      <c r="D47" s="2">
        <v>6</v>
      </c>
      <c r="E47" s="2">
        <v>34</v>
      </c>
      <c r="F47" s="2">
        <v>49</v>
      </c>
      <c r="G47" s="2">
        <v>36</v>
      </c>
      <c r="H47" s="3">
        <v>13</v>
      </c>
      <c r="I47" s="2" t="str">
        <f t="shared" si="0"/>
        <v>马</v>
      </c>
      <c r="J47" s="4">
        <f>IF(H47="","",IF(OR(AND(M47&lt;&gt;"",M47=IFERROR(INDEX($M$3:M46,MIN(IF(COUNTIF($M$3:M46,"0")=0,10^9,LOOKUP(2,1/($M$3:M46="0"),ROW($M$3:M46))),IF(COUNTIF($M$3:M46,"1")=0,10^9,LOOKUP(2,1/($M$3:M46="1"),ROW($M$3:M46))),IF(COUNTIF($M$3:M46,"2")=0,10^9,LOOKUP(2,1/($M$3:M46="2"),ROW($M$3:M46))),IF(COUNTIF($M$3:M46,"3")=0,10^9,LOOKUP(2,1/($M$3:M46="3"),ROW($M$3:M46))),IF(COUNTIF($M$3:M46,"4")=0,10^9,LOOKUP(2,1/($M$3:M46="4"),ROW($M$3:M46))),IF(COUNTIF($M$3:M46,"5")=0,10^9,LOOKUP(2,1/($M$3:M46="5"),ROW($M$3:M46))),IF(COUNTIF($M$3:M46,"6")=0,10^9,LOOKUP(2,1/($M$3:M46="6"),ROW($M$3:M46))),IF(COUNTIF($M$3:M46,"7")=0,10^9,LOOKUP(2,1/($M$3:M46="7"),ROW($M$3:M46))),IF(COUNTIF($M$3:M46,"8")=0,10^9,LOOKUP(2,1/($M$3:M46="8"),ROW($M$3:M46))),IF(COUNTIF($M$3:M46,"9")=0,10^9,LOOKUP(2,1/($M$3:M46="9"),ROW($M$3:M46))))-ROW($M$3)+1),"")),AND(N47&lt;&gt;"",N47=IFERROR(INDEX($N$3:N46,MIN(IF(COUNTIF($N$3:N46,"鼠")=0,10^9,LOOKUP(2,1/($N$3:N46="鼠"),ROW($N$3:N46))),IF(COUNTIF($N$3:N46,"牛")=0,10^9,LOOKUP(2,1/($N$3:N46="牛"),ROW($N$3:N46))),IF(COUNTIF($N$3:N46,"虎")=0,10^9,LOOKUP(2,1/($N$3:N46="虎"),ROW($N$3:N46))),IF(COUNTIF($N$3:N46,"兔")=0,10^9,LOOKUP(2,1/($N$3:N46="兔"),ROW($N$3:N46))),IF(COUNTIF($N$3:N46,"龙")=0,10^9,LOOKUP(2,1/($N$3:N46="龙"),ROW($N$3:N46))),IF(COUNTIF($N$3:N46,"蛇")=0,10^9,LOOKUP(2,1/($N$3:N46="蛇"),ROW($N$3:N46))),IF(COUNTIF($N$3:N46,"马")=0,10^9,LOOKUP(2,1/($N$3:N46="马"),ROW($N$3:N46))),IF(COUNTIF($N$3:N46,"羊")=0,10^9,LOOKUP(2,1/($N$3:N46="羊"),ROW($N$3:N46))),IF(COUNTIF($N$3:N46,"猴")=0,10^9,LOOKUP(2,1/($N$3:N46="猴"),ROW($N$3:N46))),IF(COUNTIF($N$3:N46,"鸡")=0,10^9,LOOKUP(2,1/($N$3:N46="鸡"),ROW($N$3:N46))),IF(COUNTIF($N$3:N46,"狗")=0,10^9,LOOKUP(2,1/($N$3:N46="狗"),ROW($N$3:N46))),IF(COUNTIF($N$3:N46,"猪")=0,10^9,LOOKUP(2,1/($N$3:N46="猪"),ROW($N$3:N46))))-ROW($N$3)+1),""))),0,IF(ISNUMBER(J46),J46+1,1)))</f>
        <v>1</v>
      </c>
      <c r="K47" s="5">
        <f t="shared" si="6"/>
        <v>1</v>
      </c>
      <c r="M47" s="6" t="str">
        <f t="shared" si="1"/>
        <v>3</v>
      </c>
      <c r="N47" s="2" t="str">
        <f t="shared" si="2"/>
        <v>马</v>
      </c>
      <c r="O47" s="7" t="str">
        <f>IF(M47="","",IF(COUNTIF(M48:$M$1000,M47)&gt;0,"",M47))</f>
        <v/>
      </c>
      <c r="P47" s="8" t="str">
        <f>IF(N47="","",IF(COUNTIF(N48:$N$1000,N47)&gt;0,"",N47))</f>
        <v/>
      </c>
      <c r="Q47" s="21">
        <f t="shared" si="3"/>
        <v>118</v>
      </c>
      <c r="R47" s="22" t="str">
        <f t="shared" si="4"/>
        <v>鸡</v>
      </c>
      <c r="X47" s="2">
        <v>45</v>
      </c>
      <c r="Y47" s="2" t="s">
        <v>28</v>
      </c>
    </row>
    <row r="48" s="1" customFormat="1" spans="1:25">
      <c r="A48" s="2">
        <v>115056683</v>
      </c>
      <c r="B48" s="2">
        <v>41</v>
      </c>
      <c r="C48" s="2">
        <v>43</v>
      </c>
      <c r="D48" s="2">
        <v>33</v>
      </c>
      <c r="E48" s="2">
        <v>27</v>
      </c>
      <c r="F48" s="2">
        <v>19</v>
      </c>
      <c r="G48" s="2">
        <v>34</v>
      </c>
      <c r="H48" s="3">
        <v>36</v>
      </c>
      <c r="I48" s="2" t="str">
        <f t="shared" si="0"/>
        <v>羊</v>
      </c>
      <c r="J48" s="4">
        <f>IF(H48="","",IF(OR(AND(M48&lt;&gt;"",M48=IFERROR(INDEX($M$3:M47,MIN(IF(COUNTIF($M$3:M47,"0")=0,10^9,LOOKUP(2,1/($M$3:M47="0"),ROW($M$3:M47))),IF(COUNTIF($M$3:M47,"1")=0,10^9,LOOKUP(2,1/($M$3:M47="1"),ROW($M$3:M47))),IF(COUNTIF($M$3:M47,"2")=0,10^9,LOOKUP(2,1/($M$3:M47="2"),ROW($M$3:M47))),IF(COUNTIF($M$3:M47,"3")=0,10^9,LOOKUP(2,1/($M$3:M47="3"),ROW($M$3:M47))),IF(COUNTIF($M$3:M47,"4")=0,10^9,LOOKUP(2,1/($M$3:M47="4"),ROW($M$3:M47))),IF(COUNTIF($M$3:M47,"5")=0,10^9,LOOKUP(2,1/($M$3:M47="5"),ROW($M$3:M47))),IF(COUNTIF($M$3:M47,"6")=0,10^9,LOOKUP(2,1/($M$3:M47="6"),ROW($M$3:M47))),IF(COUNTIF($M$3:M47,"7")=0,10^9,LOOKUP(2,1/($M$3:M47="7"),ROW($M$3:M47))),IF(COUNTIF($M$3:M47,"8")=0,10^9,LOOKUP(2,1/($M$3:M47="8"),ROW($M$3:M47))),IF(COUNTIF($M$3:M47,"9")=0,10^9,LOOKUP(2,1/($M$3:M47="9"),ROW($M$3:M47))))-ROW($M$3)+1),"")),AND(N48&lt;&gt;"",N48=IFERROR(INDEX($N$3:N47,MIN(IF(COUNTIF($N$3:N47,"鼠")=0,10^9,LOOKUP(2,1/($N$3:N47="鼠"),ROW($N$3:N47))),IF(COUNTIF($N$3:N47,"牛")=0,10^9,LOOKUP(2,1/($N$3:N47="牛"),ROW($N$3:N47))),IF(COUNTIF($N$3:N47,"虎")=0,10^9,LOOKUP(2,1/($N$3:N47="虎"),ROW($N$3:N47))),IF(COUNTIF($N$3:N47,"兔")=0,10^9,LOOKUP(2,1/($N$3:N47="兔"),ROW($N$3:N47))),IF(COUNTIF($N$3:N47,"龙")=0,10^9,LOOKUP(2,1/($N$3:N47="龙"),ROW($N$3:N47))),IF(COUNTIF($N$3:N47,"蛇")=0,10^9,LOOKUP(2,1/($N$3:N47="蛇"),ROW($N$3:N47))),IF(COUNTIF($N$3:N47,"马")=0,10^9,LOOKUP(2,1/($N$3:N47="马"),ROW($N$3:N47))),IF(COUNTIF($N$3:N47,"羊")=0,10^9,LOOKUP(2,1/($N$3:N47="羊"),ROW($N$3:N47))),IF(COUNTIF($N$3:N47,"猴")=0,10^9,LOOKUP(2,1/($N$3:N47="猴"),ROW($N$3:N47))),IF(COUNTIF($N$3:N47,"鸡")=0,10^9,LOOKUP(2,1/($N$3:N47="鸡"),ROW($N$3:N47))),IF(COUNTIF($N$3:N47,"狗")=0,10^9,LOOKUP(2,1/($N$3:N47="狗"),ROW($N$3:N47))),IF(COUNTIF($N$3:N47,"猪")=0,10^9,LOOKUP(2,1/($N$3:N47="猪"),ROW($N$3:N47))))-ROW($N$3)+1),""))),0,IF(ISNUMBER(J47),J47+1,1)))</f>
        <v>2</v>
      </c>
      <c r="K48" s="5">
        <f t="shared" si="6"/>
        <v>2</v>
      </c>
      <c r="M48" s="6" t="str">
        <f t="shared" si="1"/>
        <v>6</v>
      </c>
      <c r="N48" s="2" t="str">
        <f t="shared" si="2"/>
        <v>羊</v>
      </c>
      <c r="O48" s="7" t="str">
        <f>IF(M48="","",IF(COUNTIF(M49:$M$1000,M48)&gt;0,"",M48))</f>
        <v/>
      </c>
      <c r="P48" s="8" t="str">
        <f>IF(N48="","",IF(COUNTIF(N49:$N$1000,N48)&gt;0,"",N48))</f>
        <v/>
      </c>
      <c r="Q48" s="21">
        <f t="shared" si="3"/>
        <v>101</v>
      </c>
      <c r="R48" s="22" t="str">
        <f t="shared" si="4"/>
        <v>虎</v>
      </c>
      <c r="X48" s="2">
        <v>8</v>
      </c>
      <c r="Y48" s="2" t="s">
        <v>29</v>
      </c>
    </row>
    <row r="49" s="1" customFormat="1" spans="1:25">
      <c r="A49" s="2">
        <v>115056684</v>
      </c>
      <c r="B49" s="2">
        <v>29</v>
      </c>
      <c r="C49" s="2">
        <v>26</v>
      </c>
      <c r="D49" s="2">
        <v>30</v>
      </c>
      <c r="E49" s="2">
        <v>19</v>
      </c>
      <c r="F49" s="2">
        <v>16</v>
      </c>
      <c r="G49" s="2">
        <v>31</v>
      </c>
      <c r="H49" s="3">
        <v>40</v>
      </c>
      <c r="I49" s="2" t="str">
        <f t="shared" si="0"/>
        <v>兔</v>
      </c>
      <c r="J49" s="4">
        <f>IF(H49="","",IF(OR(AND(M49&lt;&gt;"",M49=IFERROR(INDEX($M$3:M48,MIN(IF(COUNTIF($M$3:M48,"0")=0,10^9,LOOKUP(2,1/($M$3:M48="0"),ROW($M$3:M48))),IF(COUNTIF($M$3:M48,"1")=0,10^9,LOOKUP(2,1/($M$3:M48="1"),ROW($M$3:M48))),IF(COUNTIF($M$3:M48,"2")=0,10^9,LOOKUP(2,1/($M$3:M48="2"),ROW($M$3:M48))),IF(COUNTIF($M$3:M48,"3")=0,10^9,LOOKUP(2,1/($M$3:M48="3"),ROW($M$3:M48))),IF(COUNTIF($M$3:M48,"4")=0,10^9,LOOKUP(2,1/($M$3:M48="4"),ROW($M$3:M48))),IF(COUNTIF($M$3:M48,"5")=0,10^9,LOOKUP(2,1/($M$3:M48="5"),ROW($M$3:M48))),IF(COUNTIF($M$3:M48,"6")=0,10^9,LOOKUP(2,1/($M$3:M48="6"),ROW($M$3:M48))),IF(COUNTIF($M$3:M48,"7")=0,10^9,LOOKUP(2,1/($M$3:M48="7"),ROW($M$3:M48))),IF(COUNTIF($M$3:M48,"8")=0,10^9,LOOKUP(2,1/($M$3:M48="8"),ROW($M$3:M48))),IF(COUNTIF($M$3:M48,"9")=0,10^9,LOOKUP(2,1/($M$3:M48="9"),ROW($M$3:M48))))-ROW($M$3)+1),"")),AND(N49&lt;&gt;"",N49=IFERROR(INDEX($N$3:N48,MIN(IF(COUNTIF($N$3:N48,"鼠")=0,10^9,LOOKUP(2,1/($N$3:N48="鼠"),ROW($N$3:N48))),IF(COUNTIF($N$3:N48,"牛")=0,10^9,LOOKUP(2,1/($N$3:N48="牛"),ROW($N$3:N48))),IF(COUNTIF($N$3:N48,"虎")=0,10^9,LOOKUP(2,1/($N$3:N48="虎"),ROW($N$3:N48))),IF(COUNTIF($N$3:N48,"兔")=0,10^9,LOOKUP(2,1/($N$3:N48="兔"),ROW($N$3:N48))),IF(COUNTIF($N$3:N48,"龙")=0,10^9,LOOKUP(2,1/($N$3:N48="龙"),ROW($N$3:N48))),IF(COUNTIF($N$3:N48,"蛇")=0,10^9,LOOKUP(2,1/($N$3:N48="蛇"),ROW($N$3:N48))),IF(COUNTIF($N$3:N48,"马")=0,10^9,LOOKUP(2,1/($N$3:N48="马"),ROW($N$3:N48))),IF(COUNTIF($N$3:N48,"羊")=0,10^9,LOOKUP(2,1/($N$3:N48="羊"),ROW($N$3:N48))),IF(COUNTIF($N$3:N48,"猴")=0,10^9,LOOKUP(2,1/($N$3:N48="猴"),ROW($N$3:N48))),IF(COUNTIF($N$3:N48,"鸡")=0,10^9,LOOKUP(2,1/($N$3:N48="鸡"),ROW($N$3:N48))),IF(COUNTIF($N$3:N48,"狗")=0,10^9,LOOKUP(2,1/($N$3:N48="狗"),ROW($N$3:N48))),IF(COUNTIF($N$3:N48,"猪")=0,10^9,LOOKUP(2,1/($N$3:N48="猪"),ROW($N$3:N48))))-ROW($N$3)+1),""))),0,IF(ISNUMBER(J48),J48+1,1)))</f>
        <v>3</v>
      </c>
      <c r="K49" s="5">
        <f t="shared" si="6"/>
        <v>3</v>
      </c>
      <c r="M49" s="6" t="str">
        <f t="shared" si="1"/>
        <v>0</v>
      </c>
      <c r="N49" s="2" t="str">
        <f t="shared" si="2"/>
        <v>兔</v>
      </c>
      <c r="O49" s="7" t="str">
        <f>IF(M49="","",IF(COUNTIF(M50:$M$1000,M49)&gt;0,"",M49))</f>
        <v/>
      </c>
      <c r="P49" s="8" t="str">
        <f>IF(N49="","",IF(COUNTIF(N50:$N$1000,N49)&gt;0,"",N49))</f>
        <v/>
      </c>
      <c r="Q49" s="21">
        <f t="shared" si="3"/>
        <v>78</v>
      </c>
      <c r="R49" s="22" t="str">
        <f t="shared" si="4"/>
        <v>牛</v>
      </c>
      <c r="X49" s="2">
        <v>20</v>
      </c>
      <c r="Y49" s="2" t="s">
        <v>29</v>
      </c>
    </row>
    <row r="50" s="1" customFormat="1" spans="1:25">
      <c r="A50" s="2">
        <v>115056685</v>
      </c>
      <c r="B50" s="2">
        <v>5</v>
      </c>
      <c r="C50" s="2">
        <v>20</v>
      </c>
      <c r="D50" s="2">
        <v>25</v>
      </c>
      <c r="E50" s="2">
        <v>30</v>
      </c>
      <c r="F50" s="2">
        <v>22</v>
      </c>
      <c r="G50" s="2">
        <v>45</v>
      </c>
      <c r="H50" s="3">
        <v>7</v>
      </c>
      <c r="I50" s="2" t="str">
        <f t="shared" si="0"/>
        <v>鼠</v>
      </c>
      <c r="J50" s="4">
        <f>IF(H50="","",IF(OR(AND(M50&lt;&gt;"",M50=IFERROR(INDEX($M$3:M49,MIN(IF(COUNTIF($M$3:M49,"0")=0,10^9,LOOKUP(2,1/($M$3:M49="0"),ROW($M$3:M49))),IF(COUNTIF($M$3:M49,"1")=0,10^9,LOOKUP(2,1/($M$3:M49="1"),ROW($M$3:M49))),IF(COUNTIF($M$3:M49,"2")=0,10^9,LOOKUP(2,1/($M$3:M49="2"),ROW($M$3:M49))),IF(COUNTIF($M$3:M49,"3")=0,10^9,LOOKUP(2,1/($M$3:M49="3"),ROW($M$3:M49))),IF(COUNTIF($M$3:M49,"4")=0,10^9,LOOKUP(2,1/($M$3:M49="4"),ROW($M$3:M49))),IF(COUNTIF($M$3:M49,"5")=0,10^9,LOOKUP(2,1/($M$3:M49="5"),ROW($M$3:M49))),IF(COUNTIF($M$3:M49,"6")=0,10^9,LOOKUP(2,1/($M$3:M49="6"),ROW($M$3:M49))),IF(COUNTIF($M$3:M49,"7")=0,10^9,LOOKUP(2,1/($M$3:M49="7"),ROW($M$3:M49))),IF(COUNTIF($M$3:M49,"8")=0,10^9,LOOKUP(2,1/($M$3:M49="8"),ROW($M$3:M49))),IF(COUNTIF($M$3:M49,"9")=0,10^9,LOOKUP(2,1/($M$3:M49="9"),ROW($M$3:M49))))-ROW($M$3)+1),"")),AND(N50&lt;&gt;"",N50=IFERROR(INDEX($N$3:N49,MIN(IF(COUNTIF($N$3:N49,"鼠")=0,10^9,LOOKUP(2,1/($N$3:N49="鼠"),ROW($N$3:N49))),IF(COUNTIF($N$3:N49,"牛")=0,10^9,LOOKUP(2,1/($N$3:N49="牛"),ROW($N$3:N49))),IF(COUNTIF($N$3:N49,"虎")=0,10^9,LOOKUP(2,1/($N$3:N49="虎"),ROW($N$3:N49))),IF(COUNTIF($N$3:N49,"兔")=0,10^9,LOOKUP(2,1/($N$3:N49="兔"),ROW($N$3:N49))),IF(COUNTIF($N$3:N49,"龙")=0,10^9,LOOKUP(2,1/($N$3:N49="龙"),ROW($N$3:N49))),IF(COUNTIF($N$3:N49,"蛇")=0,10^9,LOOKUP(2,1/($N$3:N49="蛇"),ROW($N$3:N49))),IF(COUNTIF($N$3:N49,"马")=0,10^9,LOOKUP(2,1/($N$3:N49="马"),ROW($N$3:N49))),IF(COUNTIF($N$3:N49,"羊")=0,10^9,LOOKUP(2,1/($N$3:N49="羊"),ROW($N$3:N49))),IF(COUNTIF($N$3:N49,"猴")=0,10^9,LOOKUP(2,1/($N$3:N49="猴"),ROW($N$3:N49))),IF(COUNTIF($N$3:N49,"鸡")=0,10^9,LOOKUP(2,1/($N$3:N49="鸡"),ROW($N$3:N49))),IF(COUNTIF($N$3:N49,"狗")=0,10^9,LOOKUP(2,1/($N$3:N49="狗"),ROW($N$3:N49))),IF(COUNTIF($N$3:N49,"猪")=0,10^9,LOOKUP(2,1/($N$3:N49="猪"),ROW($N$3:N49))))-ROW($N$3)+1),""))),0,IF(ISNUMBER(J49),J49+1,1)))</f>
        <v>0</v>
      </c>
      <c r="K50" s="5">
        <f t="shared" si="6"/>
        <v>4</v>
      </c>
      <c r="M50" s="6" t="str">
        <f t="shared" si="1"/>
        <v>7</v>
      </c>
      <c r="N50" s="2" t="str">
        <f t="shared" si="2"/>
        <v>鼠</v>
      </c>
      <c r="O50" s="7" t="str">
        <f>IF(M50="","",IF(COUNTIF(M51:$M$1000,M50)&gt;0,"",M50))</f>
        <v/>
      </c>
      <c r="P50" s="8" t="str">
        <f>IF(N50="","",IF(COUNTIF(N51:$N$1000,N50)&gt;0,"",N50))</f>
        <v/>
      </c>
      <c r="Q50" s="21">
        <f t="shared" si="3"/>
        <v>93</v>
      </c>
      <c r="R50" s="22" t="str">
        <f t="shared" si="4"/>
        <v>狗</v>
      </c>
      <c r="X50" s="2">
        <v>32</v>
      </c>
      <c r="Y50" s="2" t="s">
        <v>29</v>
      </c>
    </row>
    <row r="51" s="1" customFormat="1" spans="1:25">
      <c r="A51" s="2">
        <v>115056686</v>
      </c>
      <c r="B51" s="2">
        <v>6</v>
      </c>
      <c r="C51" s="2">
        <v>26</v>
      </c>
      <c r="D51" s="2">
        <v>46</v>
      </c>
      <c r="E51" s="2">
        <v>12</v>
      </c>
      <c r="F51" s="2">
        <v>35</v>
      </c>
      <c r="G51" s="2">
        <v>22</v>
      </c>
      <c r="H51" s="3">
        <v>36</v>
      </c>
      <c r="I51" s="2" t="str">
        <f t="shared" si="0"/>
        <v>羊</v>
      </c>
      <c r="J51" s="4">
        <f>IF(H51="","",IF(OR(AND(M51&lt;&gt;"",M51=IFERROR(INDEX($M$3:M50,MIN(IF(COUNTIF($M$3:M50,"0")=0,10^9,LOOKUP(2,1/($M$3:M50="0"),ROW($M$3:M50))),IF(COUNTIF($M$3:M50,"1")=0,10^9,LOOKUP(2,1/($M$3:M50="1"),ROW($M$3:M50))),IF(COUNTIF($M$3:M50,"2")=0,10^9,LOOKUP(2,1/($M$3:M50="2"),ROW($M$3:M50))),IF(COUNTIF($M$3:M50,"3")=0,10^9,LOOKUP(2,1/($M$3:M50="3"),ROW($M$3:M50))),IF(COUNTIF($M$3:M50,"4")=0,10^9,LOOKUP(2,1/($M$3:M50="4"),ROW($M$3:M50))),IF(COUNTIF($M$3:M50,"5")=0,10^9,LOOKUP(2,1/($M$3:M50="5"),ROW($M$3:M50))),IF(COUNTIF($M$3:M50,"6")=0,10^9,LOOKUP(2,1/($M$3:M50="6"),ROW($M$3:M50))),IF(COUNTIF($M$3:M50,"7")=0,10^9,LOOKUP(2,1/($M$3:M50="7"),ROW($M$3:M50))),IF(COUNTIF($M$3:M50,"8")=0,10^9,LOOKUP(2,1/($M$3:M50="8"),ROW($M$3:M50))),IF(COUNTIF($M$3:M50,"9")=0,10^9,LOOKUP(2,1/($M$3:M50="9"),ROW($M$3:M50))))-ROW($M$3)+1),"")),AND(N51&lt;&gt;"",N51=IFERROR(INDEX($N$3:N50,MIN(IF(COUNTIF($N$3:N50,"鼠")=0,10^9,LOOKUP(2,1/($N$3:N50="鼠"),ROW($N$3:N50))),IF(COUNTIF($N$3:N50,"牛")=0,10^9,LOOKUP(2,1/($N$3:N50="牛"),ROW($N$3:N50))),IF(COUNTIF($N$3:N50,"虎")=0,10^9,LOOKUP(2,1/($N$3:N50="虎"),ROW($N$3:N50))),IF(COUNTIF($N$3:N50,"兔")=0,10^9,LOOKUP(2,1/($N$3:N50="兔"),ROW($N$3:N50))),IF(COUNTIF($N$3:N50,"龙")=0,10^9,LOOKUP(2,1/($N$3:N50="龙"),ROW($N$3:N50))),IF(COUNTIF($N$3:N50,"蛇")=0,10^9,LOOKUP(2,1/($N$3:N50="蛇"),ROW($N$3:N50))),IF(COUNTIF($N$3:N50,"马")=0,10^9,LOOKUP(2,1/($N$3:N50="马"),ROW($N$3:N50))),IF(COUNTIF($N$3:N50,"羊")=0,10^9,LOOKUP(2,1/($N$3:N50="羊"),ROW($N$3:N50))),IF(COUNTIF($N$3:N50,"猴")=0,10^9,LOOKUP(2,1/($N$3:N50="猴"),ROW($N$3:N50))),IF(COUNTIF($N$3:N50,"鸡")=0,10^9,LOOKUP(2,1/($N$3:N50="鸡"),ROW($N$3:N50))),IF(COUNTIF($N$3:N50,"狗")=0,10^9,LOOKUP(2,1/($N$3:N50="狗"),ROW($N$3:N50))),IF(COUNTIF($N$3:N50,"猪")=0,10^9,LOOKUP(2,1/($N$3:N50="猪"),ROW($N$3:N50))))-ROW($N$3)+1),""))),0,IF(ISNUMBER(J50),J50+1,1)))</f>
        <v>1</v>
      </c>
      <c r="K51" s="5">
        <f t="shared" si="6"/>
        <v>5</v>
      </c>
      <c r="M51" s="6" t="str">
        <f t="shared" si="1"/>
        <v>6</v>
      </c>
      <c r="N51" s="2" t="str">
        <f t="shared" si="2"/>
        <v>羊</v>
      </c>
      <c r="O51" s="7" t="str">
        <f>IF(M51="","",IF(COUNTIF(M52:$M$1000,M51)&gt;0,"",M51))</f>
        <v/>
      </c>
      <c r="P51" s="8" t="str">
        <f>IF(N51="","",IF(COUNTIF(N52:$N$1000,N51)&gt;0,"",N51))</f>
        <v/>
      </c>
      <c r="Q51" s="21">
        <f t="shared" si="3"/>
        <v>101</v>
      </c>
      <c r="R51" s="22" t="str">
        <f t="shared" si="4"/>
        <v>虎</v>
      </c>
      <c r="X51" s="2">
        <v>44</v>
      </c>
      <c r="Y51" s="2" t="s">
        <v>29</v>
      </c>
    </row>
    <row r="52" s="1" customFormat="1" spans="1:25">
      <c r="A52" s="2">
        <v>115056687</v>
      </c>
      <c r="B52" s="2">
        <v>11</v>
      </c>
      <c r="C52" s="2">
        <v>46</v>
      </c>
      <c r="D52" s="2">
        <v>39</v>
      </c>
      <c r="E52" s="2">
        <v>45</v>
      </c>
      <c r="F52" s="2">
        <v>28</v>
      </c>
      <c r="G52" s="2">
        <v>19</v>
      </c>
      <c r="H52" s="3">
        <v>27</v>
      </c>
      <c r="I52" s="2" t="str">
        <f t="shared" si="0"/>
        <v>龙</v>
      </c>
      <c r="J52" s="4">
        <f>IF(H52="","",IF(OR(AND(M52&lt;&gt;"",M52=IFERROR(INDEX($M$3:M51,MIN(IF(COUNTIF($M$3:M51,"0")=0,10^9,LOOKUP(2,1/($M$3:M51="0"),ROW($M$3:M51))),IF(COUNTIF($M$3:M51,"1")=0,10^9,LOOKUP(2,1/($M$3:M51="1"),ROW($M$3:M51))),IF(COUNTIF($M$3:M51,"2")=0,10^9,LOOKUP(2,1/($M$3:M51="2"),ROW($M$3:M51))),IF(COUNTIF($M$3:M51,"3")=0,10^9,LOOKUP(2,1/($M$3:M51="3"),ROW($M$3:M51))),IF(COUNTIF($M$3:M51,"4")=0,10^9,LOOKUP(2,1/($M$3:M51="4"),ROW($M$3:M51))),IF(COUNTIF($M$3:M51,"5")=0,10^9,LOOKUP(2,1/($M$3:M51="5"),ROW($M$3:M51))),IF(COUNTIF($M$3:M51,"6")=0,10^9,LOOKUP(2,1/($M$3:M51="6"),ROW($M$3:M51))),IF(COUNTIF($M$3:M51,"7")=0,10^9,LOOKUP(2,1/($M$3:M51="7"),ROW($M$3:M51))),IF(COUNTIF($M$3:M51,"8")=0,10^9,LOOKUP(2,1/($M$3:M51="8"),ROW($M$3:M51))),IF(COUNTIF($M$3:M51,"9")=0,10^9,LOOKUP(2,1/($M$3:M51="9"),ROW($M$3:M51))))-ROW($M$3)+1),"")),AND(N52&lt;&gt;"",N52=IFERROR(INDEX($N$3:N51,MIN(IF(COUNTIF($N$3:N51,"鼠")=0,10^9,LOOKUP(2,1/($N$3:N51="鼠"),ROW($N$3:N51))),IF(COUNTIF($N$3:N51,"牛")=0,10^9,LOOKUP(2,1/($N$3:N51="牛"),ROW($N$3:N51))),IF(COUNTIF($N$3:N51,"虎")=0,10^9,LOOKUP(2,1/($N$3:N51="虎"),ROW($N$3:N51))),IF(COUNTIF($N$3:N51,"兔")=0,10^9,LOOKUP(2,1/($N$3:N51="兔"),ROW($N$3:N51))),IF(COUNTIF($N$3:N51,"龙")=0,10^9,LOOKUP(2,1/($N$3:N51="龙"),ROW($N$3:N51))),IF(COUNTIF($N$3:N51,"蛇")=0,10^9,LOOKUP(2,1/($N$3:N51="蛇"),ROW($N$3:N51))),IF(COUNTIF($N$3:N51,"马")=0,10^9,LOOKUP(2,1/($N$3:N51="马"),ROW($N$3:N51))),IF(COUNTIF($N$3:N51,"羊")=0,10^9,LOOKUP(2,1/($N$3:N51="羊"),ROW($N$3:N51))),IF(COUNTIF($N$3:N51,"猴")=0,10^9,LOOKUP(2,1/($N$3:N51="猴"),ROW($N$3:N51))),IF(COUNTIF($N$3:N51,"鸡")=0,10^9,LOOKUP(2,1/($N$3:N51="鸡"),ROW($N$3:N51))),IF(COUNTIF($N$3:N51,"狗")=0,10^9,LOOKUP(2,1/($N$3:N51="狗"),ROW($N$3:N51))),IF(COUNTIF($N$3:N51,"猪")=0,10^9,LOOKUP(2,1/($N$3:N51="猪"),ROW($N$3:N51))))-ROW($N$3)+1),""))),0,IF(ISNUMBER(J51),J51+1,1)))</f>
        <v>2</v>
      </c>
      <c r="K52" s="5">
        <f t="shared" si="6"/>
        <v>6</v>
      </c>
      <c r="M52" s="6" t="str">
        <f t="shared" si="1"/>
        <v>7</v>
      </c>
      <c r="N52" s="2" t="str">
        <f t="shared" si="2"/>
        <v>龙</v>
      </c>
      <c r="O52" s="7" t="str">
        <f>IF(M52="","",IF(COUNTIF(M53:$M$1000,M52)&gt;0,"",M52))</f>
        <v/>
      </c>
      <c r="P52" s="8" t="str">
        <f>IF(N52="","",IF(COUNTIF(N53:$N$1000,N52)&gt;0,"",N52))</f>
        <v/>
      </c>
      <c r="Q52" s="21">
        <f t="shared" si="3"/>
        <v>116</v>
      </c>
      <c r="R52" s="22" t="str">
        <f t="shared" si="4"/>
        <v>猪</v>
      </c>
      <c r="X52" s="23">
        <v>55</v>
      </c>
      <c r="Y52" s="23" t="s">
        <v>18</v>
      </c>
    </row>
    <row r="53" s="1" customFormat="1" spans="1:25">
      <c r="A53" s="2">
        <v>115056688</v>
      </c>
      <c r="B53" s="2">
        <v>13</v>
      </c>
      <c r="C53" s="2">
        <v>32</v>
      </c>
      <c r="D53" s="2">
        <v>16</v>
      </c>
      <c r="E53" s="2">
        <v>34</v>
      </c>
      <c r="F53" s="2">
        <v>1</v>
      </c>
      <c r="G53" s="2">
        <v>14</v>
      </c>
      <c r="H53" s="3">
        <v>8</v>
      </c>
      <c r="I53" s="2" t="str">
        <f t="shared" si="0"/>
        <v>猪</v>
      </c>
      <c r="J53" s="4">
        <f>IF(H53="","",IF(OR(AND(M53&lt;&gt;"",M53=IFERROR(INDEX($M$3:M52,MIN(IF(COUNTIF($M$3:M52,"0")=0,10^9,LOOKUP(2,1/($M$3:M52="0"),ROW($M$3:M52))),IF(COUNTIF($M$3:M52,"1")=0,10^9,LOOKUP(2,1/($M$3:M52="1"),ROW($M$3:M52))),IF(COUNTIF($M$3:M52,"2")=0,10^9,LOOKUP(2,1/($M$3:M52="2"),ROW($M$3:M52))),IF(COUNTIF($M$3:M52,"3")=0,10^9,LOOKUP(2,1/($M$3:M52="3"),ROW($M$3:M52))),IF(COUNTIF($M$3:M52,"4")=0,10^9,LOOKUP(2,1/($M$3:M52="4"),ROW($M$3:M52))),IF(COUNTIF($M$3:M52,"5")=0,10^9,LOOKUP(2,1/($M$3:M52="5"),ROW($M$3:M52))),IF(COUNTIF($M$3:M52,"6")=0,10^9,LOOKUP(2,1/($M$3:M52="6"),ROW($M$3:M52))),IF(COUNTIF($M$3:M52,"7")=0,10^9,LOOKUP(2,1/($M$3:M52="7"),ROW($M$3:M52))),IF(COUNTIF($M$3:M52,"8")=0,10^9,LOOKUP(2,1/($M$3:M52="8"),ROW($M$3:M52))),IF(COUNTIF($M$3:M52,"9")=0,10^9,LOOKUP(2,1/($M$3:M52="9"),ROW($M$3:M52))))-ROW($M$3)+1),"")),AND(N53&lt;&gt;"",N53=IFERROR(INDEX($N$3:N52,MIN(IF(COUNTIF($N$3:N52,"鼠")=0,10^9,LOOKUP(2,1/($N$3:N52="鼠"),ROW($N$3:N52))),IF(COUNTIF($N$3:N52,"牛")=0,10^9,LOOKUP(2,1/($N$3:N52="牛"),ROW($N$3:N52))),IF(COUNTIF($N$3:N52,"虎")=0,10^9,LOOKUP(2,1/($N$3:N52="虎"),ROW($N$3:N52))),IF(COUNTIF($N$3:N52,"兔")=0,10^9,LOOKUP(2,1/($N$3:N52="兔"),ROW($N$3:N52))),IF(COUNTIF($N$3:N52,"龙")=0,10^9,LOOKUP(2,1/($N$3:N52="龙"),ROW($N$3:N52))),IF(COUNTIF($N$3:N52,"蛇")=0,10^9,LOOKUP(2,1/($N$3:N52="蛇"),ROW($N$3:N52))),IF(COUNTIF($N$3:N52,"马")=0,10^9,LOOKUP(2,1/($N$3:N52="马"),ROW($N$3:N52))),IF(COUNTIF($N$3:N52,"羊")=0,10^9,LOOKUP(2,1/($N$3:N52="羊"),ROW($N$3:N52))),IF(COUNTIF($N$3:N52,"猴")=0,10^9,LOOKUP(2,1/($N$3:N52="猴"),ROW($N$3:N52))),IF(COUNTIF($N$3:N52,"鸡")=0,10^9,LOOKUP(2,1/($N$3:N52="鸡"),ROW($N$3:N52))),IF(COUNTIF($N$3:N52,"狗")=0,10^9,LOOKUP(2,1/($N$3:N52="狗"),ROW($N$3:N52))),IF(COUNTIF($N$3:N52,"猪")=0,10^9,LOOKUP(2,1/($N$3:N52="猪"),ROW($N$3:N52))))-ROW($N$3)+1),""))),0,IF(ISNUMBER(J52),J52+1,1)))</f>
        <v>3</v>
      </c>
      <c r="K53" s="5">
        <f t="shared" si="6"/>
        <v>0</v>
      </c>
      <c r="M53" s="6" t="str">
        <f t="shared" si="1"/>
        <v>8</v>
      </c>
      <c r="N53" s="2" t="str">
        <f t="shared" si="2"/>
        <v>猪</v>
      </c>
      <c r="O53" s="7" t="str">
        <f>IF(M53="","",IF(COUNTIF(M54:$M$1000,M53)&gt;0,"",M53))</f>
        <v/>
      </c>
      <c r="P53" s="8" t="str">
        <f>IF(N53="","",IF(COUNTIF(N54:$N$1000,N53)&gt;0,"",N53))</f>
        <v/>
      </c>
      <c r="Q53" s="21">
        <f t="shared" si="3"/>
        <v>72</v>
      </c>
      <c r="R53" s="22" t="str">
        <f t="shared" si="4"/>
        <v>羊</v>
      </c>
      <c r="X53" s="2">
        <v>67</v>
      </c>
      <c r="Y53" s="2" t="s">
        <v>18</v>
      </c>
    </row>
    <row r="54" s="1" customFormat="1" spans="1:25">
      <c r="A54" s="2">
        <v>115056689</v>
      </c>
      <c r="B54" s="2">
        <v>22</v>
      </c>
      <c r="C54" s="2">
        <v>16</v>
      </c>
      <c r="D54" s="2">
        <v>9</v>
      </c>
      <c r="E54" s="2">
        <v>20</v>
      </c>
      <c r="F54" s="2">
        <v>48</v>
      </c>
      <c r="G54" s="2">
        <v>32</v>
      </c>
      <c r="H54" s="3">
        <v>14</v>
      </c>
      <c r="I54" s="2" t="str">
        <f t="shared" si="0"/>
        <v>蛇</v>
      </c>
      <c r="J54" s="4">
        <f>IF(H54="","",IF(OR(AND(M54&lt;&gt;"",M54=IFERROR(INDEX($M$3:M53,MIN(IF(COUNTIF($M$3:M53,"0")=0,10^9,LOOKUP(2,1/($M$3:M53="0"),ROW($M$3:M53))),IF(COUNTIF($M$3:M53,"1")=0,10^9,LOOKUP(2,1/($M$3:M53="1"),ROW($M$3:M53))),IF(COUNTIF($M$3:M53,"2")=0,10^9,LOOKUP(2,1/($M$3:M53="2"),ROW($M$3:M53))),IF(COUNTIF($M$3:M53,"3")=0,10^9,LOOKUP(2,1/($M$3:M53="3"),ROW($M$3:M53))),IF(COUNTIF($M$3:M53,"4")=0,10^9,LOOKUP(2,1/($M$3:M53="4"),ROW($M$3:M53))),IF(COUNTIF($M$3:M53,"5")=0,10^9,LOOKUP(2,1/($M$3:M53="5"),ROW($M$3:M53))),IF(COUNTIF($M$3:M53,"6")=0,10^9,LOOKUP(2,1/($M$3:M53="6"),ROW($M$3:M53))),IF(COUNTIF($M$3:M53,"7")=0,10^9,LOOKUP(2,1/($M$3:M53="7"),ROW($M$3:M53))),IF(COUNTIF($M$3:M53,"8")=0,10^9,LOOKUP(2,1/($M$3:M53="8"),ROW($M$3:M53))),IF(COUNTIF($M$3:M53,"9")=0,10^9,LOOKUP(2,1/($M$3:M53="9"),ROW($M$3:M53))))-ROW($M$3)+1),"")),AND(N54&lt;&gt;"",N54=IFERROR(INDEX($N$3:N53,MIN(IF(COUNTIF($N$3:N53,"鼠")=0,10^9,LOOKUP(2,1/($N$3:N53="鼠"),ROW($N$3:N53))),IF(COUNTIF($N$3:N53,"牛")=0,10^9,LOOKUP(2,1/($N$3:N53="牛"),ROW($N$3:N53))),IF(COUNTIF($N$3:N53,"虎")=0,10^9,LOOKUP(2,1/($N$3:N53="虎"),ROW($N$3:N53))),IF(COUNTIF($N$3:N53,"兔")=0,10^9,LOOKUP(2,1/($N$3:N53="兔"),ROW($N$3:N53))),IF(COUNTIF($N$3:N53,"龙")=0,10^9,LOOKUP(2,1/($N$3:N53="龙"),ROW($N$3:N53))),IF(COUNTIF($N$3:N53,"蛇")=0,10^9,LOOKUP(2,1/($N$3:N53="蛇"),ROW($N$3:N53))),IF(COUNTIF($N$3:N53,"马")=0,10^9,LOOKUP(2,1/($N$3:N53="马"),ROW($N$3:N53))),IF(COUNTIF($N$3:N53,"羊")=0,10^9,LOOKUP(2,1/($N$3:N53="羊"),ROW($N$3:N53))),IF(COUNTIF($N$3:N53,"猴")=0,10^9,LOOKUP(2,1/($N$3:N53="猴"),ROW($N$3:N53))),IF(COUNTIF($N$3:N53,"鸡")=0,10^9,LOOKUP(2,1/($N$3:N53="鸡"),ROW($N$3:N53))),IF(COUNTIF($N$3:N53,"狗")=0,10^9,LOOKUP(2,1/($N$3:N53="狗"),ROW($N$3:N53))),IF(COUNTIF($N$3:N53,"猪")=0,10^9,LOOKUP(2,1/($N$3:N53="猪"),ROW($N$3:N53))))-ROW($N$3)+1),""))),0,IF(ISNUMBER(J53),J53+1,1)))</f>
        <v>4</v>
      </c>
      <c r="K54" s="5">
        <f t="shared" si="6"/>
        <v>1</v>
      </c>
      <c r="M54" s="6" t="str">
        <f t="shared" si="1"/>
        <v>4</v>
      </c>
      <c r="N54" s="2" t="str">
        <f t="shared" si="2"/>
        <v>蛇</v>
      </c>
      <c r="O54" s="7" t="str">
        <f>IF(M54="","",IF(COUNTIF(M55:$M$1000,M54)&gt;0,"",M54))</f>
        <v/>
      </c>
      <c r="P54" s="8" t="str">
        <f>IF(N54="","",IF(COUNTIF(N55:$N$1000,N54)&gt;0,"",N54))</f>
        <v/>
      </c>
      <c r="Q54" s="21">
        <f t="shared" si="3"/>
        <v>98</v>
      </c>
      <c r="R54" s="22" t="str">
        <f t="shared" si="4"/>
        <v>蛇</v>
      </c>
      <c r="X54" s="2">
        <v>79</v>
      </c>
      <c r="Y54" s="2" t="s">
        <v>18</v>
      </c>
    </row>
    <row r="55" s="1" customFormat="1" spans="1:25">
      <c r="A55" s="2">
        <v>115056690</v>
      </c>
      <c r="B55" s="2">
        <v>25</v>
      </c>
      <c r="C55" s="2">
        <v>44</v>
      </c>
      <c r="D55" s="2">
        <v>10</v>
      </c>
      <c r="E55" s="2">
        <v>7</v>
      </c>
      <c r="F55" s="2">
        <v>46</v>
      </c>
      <c r="G55" s="2">
        <v>32</v>
      </c>
      <c r="H55" s="3">
        <v>29</v>
      </c>
      <c r="I55" s="2" t="str">
        <f t="shared" si="0"/>
        <v>虎</v>
      </c>
      <c r="J55" s="4">
        <f>IF(H55="","",IF(OR(AND(M55&lt;&gt;"",M55=IFERROR(INDEX($M$3:M54,MIN(IF(COUNTIF($M$3:M54,"0")=0,10^9,LOOKUP(2,1/($M$3:M54="0"),ROW($M$3:M54))),IF(COUNTIF($M$3:M54,"1")=0,10^9,LOOKUP(2,1/($M$3:M54="1"),ROW($M$3:M54))),IF(COUNTIF($M$3:M54,"2")=0,10^9,LOOKUP(2,1/($M$3:M54="2"),ROW($M$3:M54))),IF(COUNTIF($M$3:M54,"3")=0,10^9,LOOKUP(2,1/($M$3:M54="3"),ROW($M$3:M54))),IF(COUNTIF($M$3:M54,"4")=0,10^9,LOOKUP(2,1/($M$3:M54="4"),ROW($M$3:M54))),IF(COUNTIF($M$3:M54,"5")=0,10^9,LOOKUP(2,1/($M$3:M54="5"),ROW($M$3:M54))),IF(COUNTIF($M$3:M54,"6")=0,10^9,LOOKUP(2,1/($M$3:M54="6"),ROW($M$3:M54))),IF(COUNTIF($M$3:M54,"7")=0,10^9,LOOKUP(2,1/($M$3:M54="7"),ROW($M$3:M54))),IF(COUNTIF($M$3:M54,"8")=0,10^9,LOOKUP(2,1/($M$3:M54="8"),ROW($M$3:M54))),IF(COUNTIF($M$3:M54,"9")=0,10^9,LOOKUP(2,1/($M$3:M54="9"),ROW($M$3:M54))))-ROW($M$3)+1),"")),AND(N55&lt;&gt;"",N55=IFERROR(INDEX($N$3:N54,MIN(IF(COUNTIF($N$3:N54,"鼠")=0,10^9,LOOKUP(2,1/($N$3:N54="鼠"),ROW($N$3:N54))),IF(COUNTIF($N$3:N54,"牛")=0,10^9,LOOKUP(2,1/($N$3:N54="牛"),ROW($N$3:N54))),IF(COUNTIF($N$3:N54,"虎")=0,10^9,LOOKUP(2,1/($N$3:N54="虎"),ROW($N$3:N54))),IF(COUNTIF($N$3:N54,"兔")=0,10^9,LOOKUP(2,1/($N$3:N54="兔"),ROW($N$3:N54))),IF(COUNTIF($N$3:N54,"龙")=0,10^9,LOOKUP(2,1/($N$3:N54="龙"),ROW($N$3:N54))),IF(COUNTIF($N$3:N54,"蛇")=0,10^9,LOOKUP(2,1/($N$3:N54="蛇"),ROW($N$3:N54))),IF(COUNTIF($N$3:N54,"马")=0,10^9,LOOKUP(2,1/($N$3:N54="马"),ROW($N$3:N54))),IF(COUNTIF($N$3:N54,"羊")=0,10^9,LOOKUP(2,1/($N$3:N54="羊"),ROW($N$3:N54))),IF(COUNTIF($N$3:N54,"猴")=0,10^9,LOOKUP(2,1/($N$3:N54="猴"),ROW($N$3:N54))),IF(COUNTIF($N$3:N54,"鸡")=0,10^9,LOOKUP(2,1/($N$3:N54="鸡"),ROW($N$3:N54))),IF(COUNTIF($N$3:N54,"狗")=0,10^9,LOOKUP(2,1/($N$3:N54="狗"),ROW($N$3:N54))),IF(COUNTIF($N$3:N54,"猪")=0,10^9,LOOKUP(2,1/($N$3:N54="猪"),ROW($N$3:N54))))-ROW($N$3)+1),""))),0,IF(ISNUMBER(J54),J54+1,1)))</f>
        <v>5</v>
      </c>
      <c r="K55" s="5">
        <f t="shared" si="6"/>
        <v>2</v>
      </c>
      <c r="M55" s="6" t="str">
        <f t="shared" si="1"/>
        <v>9</v>
      </c>
      <c r="N55" s="2" t="str">
        <f t="shared" si="2"/>
        <v>虎</v>
      </c>
      <c r="O55" s="7" t="str">
        <f>IF(M55="","",IF(COUNTIF(M56:$M$1000,M55)&gt;0,"",M55))</f>
        <v/>
      </c>
      <c r="P55" s="8" t="str">
        <f>IF(N55="","",IF(COUNTIF(N56:$N$1000,N55)&gt;0,"",N55))</f>
        <v/>
      </c>
      <c r="Q55" s="21">
        <f t="shared" si="3"/>
        <v>108</v>
      </c>
      <c r="R55" s="22" t="str">
        <f t="shared" si="4"/>
        <v>羊</v>
      </c>
      <c r="X55" s="2">
        <v>91</v>
      </c>
      <c r="Y55" s="2" t="s">
        <v>18</v>
      </c>
    </row>
    <row r="56" s="1" customFormat="1" spans="1:25">
      <c r="A56" s="2">
        <v>115056691</v>
      </c>
      <c r="B56" s="2">
        <v>12</v>
      </c>
      <c r="C56" s="2">
        <v>25</v>
      </c>
      <c r="D56" s="2">
        <v>9</v>
      </c>
      <c r="E56" s="2">
        <v>41</v>
      </c>
      <c r="F56" s="2">
        <v>16</v>
      </c>
      <c r="G56" s="2">
        <v>48</v>
      </c>
      <c r="H56" s="3">
        <v>20</v>
      </c>
      <c r="I56" s="2" t="str">
        <f t="shared" si="0"/>
        <v>猪</v>
      </c>
      <c r="J56" s="4">
        <f>IF(H56="","",IF(OR(AND(M56&lt;&gt;"",M56=IFERROR(INDEX($M$3:M55,MIN(IF(COUNTIF($M$3:M55,"0")=0,10^9,LOOKUP(2,1/($M$3:M55="0"),ROW($M$3:M55))),IF(COUNTIF($M$3:M55,"1")=0,10^9,LOOKUP(2,1/($M$3:M55="1"),ROW($M$3:M55))),IF(COUNTIF($M$3:M55,"2")=0,10^9,LOOKUP(2,1/($M$3:M55="2"),ROW($M$3:M55))),IF(COUNTIF($M$3:M55,"3")=0,10^9,LOOKUP(2,1/($M$3:M55="3"),ROW($M$3:M55))),IF(COUNTIF($M$3:M55,"4")=0,10^9,LOOKUP(2,1/($M$3:M55="4"),ROW($M$3:M55))),IF(COUNTIF($M$3:M55,"5")=0,10^9,LOOKUP(2,1/($M$3:M55="5"),ROW($M$3:M55))),IF(COUNTIF($M$3:M55,"6")=0,10^9,LOOKUP(2,1/($M$3:M55="6"),ROW($M$3:M55))),IF(COUNTIF($M$3:M55,"7")=0,10^9,LOOKUP(2,1/($M$3:M55="7"),ROW($M$3:M55))),IF(COUNTIF($M$3:M55,"8")=0,10^9,LOOKUP(2,1/($M$3:M55="8"),ROW($M$3:M55))),IF(COUNTIF($M$3:M55,"9")=0,10^9,LOOKUP(2,1/($M$3:M55="9"),ROW($M$3:M55))))-ROW($M$3)+1),"")),AND(N56&lt;&gt;"",N56=IFERROR(INDEX($N$3:N55,MIN(IF(COUNTIF($N$3:N55,"鼠")=0,10^9,LOOKUP(2,1/($N$3:N55="鼠"),ROW($N$3:N55))),IF(COUNTIF($N$3:N55,"牛")=0,10^9,LOOKUP(2,1/($N$3:N55="牛"),ROW($N$3:N55))),IF(COUNTIF($N$3:N55,"虎")=0,10^9,LOOKUP(2,1/($N$3:N55="虎"),ROW($N$3:N55))),IF(COUNTIF($N$3:N55,"兔")=0,10^9,LOOKUP(2,1/($N$3:N55="兔"),ROW($N$3:N55))),IF(COUNTIF($N$3:N55,"龙")=0,10^9,LOOKUP(2,1/($N$3:N55="龙"),ROW($N$3:N55))),IF(COUNTIF($N$3:N55,"蛇")=0,10^9,LOOKUP(2,1/($N$3:N55="蛇"),ROW($N$3:N55))),IF(COUNTIF($N$3:N55,"马")=0,10^9,LOOKUP(2,1/($N$3:N55="马"),ROW($N$3:N55))),IF(COUNTIF($N$3:N55,"羊")=0,10^9,LOOKUP(2,1/($N$3:N55="羊"),ROW($N$3:N55))),IF(COUNTIF($N$3:N55,"猴")=0,10^9,LOOKUP(2,1/($N$3:N55="猴"),ROW($N$3:N55))),IF(COUNTIF($N$3:N55,"鸡")=0,10^9,LOOKUP(2,1/($N$3:N55="鸡"),ROW($N$3:N55))),IF(COUNTIF($N$3:N55,"狗")=0,10^9,LOOKUP(2,1/($N$3:N55="狗"),ROW($N$3:N55))),IF(COUNTIF($N$3:N55,"猪")=0,10^9,LOOKUP(2,1/($N$3:N55="猪"),ROW($N$3:N55))))-ROW($N$3)+1),""))),0,IF(ISNUMBER(J55),J55+1,1)))</f>
        <v>6</v>
      </c>
      <c r="K56" s="5">
        <f t="shared" si="6"/>
        <v>3</v>
      </c>
      <c r="M56" s="6" t="str">
        <f t="shared" si="1"/>
        <v>0</v>
      </c>
      <c r="N56" s="2" t="str">
        <f t="shared" si="2"/>
        <v>猪</v>
      </c>
      <c r="O56" s="7" t="str">
        <f>IF(M56="","",IF(COUNTIF(M57:$M$1000,M56)&gt;0,"",M56))</f>
        <v/>
      </c>
      <c r="P56" s="8" t="str">
        <f>IF(N56="","",IF(COUNTIF(N57:$N$1000,N56)&gt;0,"",N56))</f>
        <v/>
      </c>
      <c r="Q56" s="21">
        <f t="shared" si="3"/>
        <v>101</v>
      </c>
      <c r="R56" s="22" t="str">
        <f t="shared" si="4"/>
        <v>虎</v>
      </c>
      <c r="X56" s="2">
        <v>103</v>
      </c>
      <c r="Y56" s="2" t="s">
        <v>18</v>
      </c>
    </row>
    <row r="57" s="1" customFormat="1" spans="1:25">
      <c r="A57" s="2">
        <v>115056692</v>
      </c>
      <c r="B57" s="2">
        <v>24</v>
      </c>
      <c r="C57" s="2">
        <v>19</v>
      </c>
      <c r="D57" s="2">
        <v>17</v>
      </c>
      <c r="E57" s="2">
        <v>2</v>
      </c>
      <c r="F57" s="2">
        <v>27</v>
      </c>
      <c r="G57" s="2">
        <v>14</v>
      </c>
      <c r="H57" s="3">
        <v>9</v>
      </c>
      <c r="I57" s="2" t="str">
        <f t="shared" si="0"/>
        <v>狗</v>
      </c>
      <c r="J57" s="4">
        <f>IF(H57="","",IF(OR(AND(M57&lt;&gt;"",M57=IFERROR(INDEX($M$3:M56,MIN(IF(COUNTIF($M$3:M56,"0")=0,10^9,LOOKUP(2,1/($M$3:M56="0"),ROW($M$3:M56))),IF(COUNTIF($M$3:M56,"1")=0,10^9,LOOKUP(2,1/($M$3:M56="1"),ROW($M$3:M56))),IF(COUNTIF($M$3:M56,"2")=0,10^9,LOOKUP(2,1/($M$3:M56="2"),ROW($M$3:M56))),IF(COUNTIF($M$3:M56,"3")=0,10^9,LOOKUP(2,1/($M$3:M56="3"),ROW($M$3:M56))),IF(COUNTIF($M$3:M56,"4")=0,10^9,LOOKUP(2,1/($M$3:M56="4"),ROW($M$3:M56))),IF(COUNTIF($M$3:M56,"5")=0,10^9,LOOKUP(2,1/($M$3:M56="5"),ROW($M$3:M56))),IF(COUNTIF($M$3:M56,"6")=0,10^9,LOOKUP(2,1/($M$3:M56="6"),ROW($M$3:M56))),IF(COUNTIF($M$3:M56,"7")=0,10^9,LOOKUP(2,1/($M$3:M56="7"),ROW($M$3:M56))),IF(COUNTIF($M$3:M56,"8")=0,10^9,LOOKUP(2,1/($M$3:M56="8"),ROW($M$3:M56))),IF(COUNTIF($M$3:M56,"9")=0,10^9,LOOKUP(2,1/($M$3:M56="9"),ROW($M$3:M56))))-ROW($M$3)+1),"")),AND(N57&lt;&gt;"",N57=IFERROR(INDEX($N$3:N56,MIN(IF(COUNTIF($N$3:N56,"鼠")=0,10^9,LOOKUP(2,1/($N$3:N56="鼠"),ROW($N$3:N56))),IF(COUNTIF($N$3:N56,"牛")=0,10^9,LOOKUP(2,1/($N$3:N56="牛"),ROW($N$3:N56))),IF(COUNTIF($N$3:N56,"虎")=0,10^9,LOOKUP(2,1/($N$3:N56="虎"),ROW($N$3:N56))),IF(COUNTIF($N$3:N56,"兔")=0,10^9,LOOKUP(2,1/($N$3:N56="兔"),ROW($N$3:N56))),IF(COUNTIF($N$3:N56,"龙")=0,10^9,LOOKUP(2,1/($N$3:N56="龙"),ROW($N$3:N56))),IF(COUNTIF($N$3:N56,"蛇")=0,10^9,LOOKUP(2,1/($N$3:N56="蛇"),ROW($N$3:N56))),IF(COUNTIF($N$3:N56,"马")=0,10^9,LOOKUP(2,1/($N$3:N56="马"),ROW($N$3:N56))),IF(COUNTIF($N$3:N56,"羊")=0,10^9,LOOKUP(2,1/($N$3:N56="羊"),ROW($N$3:N56))),IF(COUNTIF($N$3:N56,"猴")=0,10^9,LOOKUP(2,1/($N$3:N56="猴"),ROW($N$3:N56))),IF(COUNTIF($N$3:N56,"鸡")=0,10^9,LOOKUP(2,1/($N$3:N56="鸡"),ROW($N$3:N56))),IF(COUNTIF($N$3:N56,"狗")=0,10^9,LOOKUP(2,1/($N$3:N56="狗"),ROW($N$3:N56))),IF(COUNTIF($N$3:N56,"猪")=0,10^9,LOOKUP(2,1/($N$3:N56="猪"),ROW($N$3:N56))))-ROW($N$3)+1),""))),0,IF(ISNUMBER(J56),J56+1,1)))</f>
        <v>7</v>
      </c>
      <c r="K57" s="5">
        <f t="shared" si="6"/>
        <v>4</v>
      </c>
      <c r="M57" s="6" t="str">
        <f t="shared" si="1"/>
        <v>9</v>
      </c>
      <c r="N57" s="2" t="str">
        <f t="shared" si="2"/>
        <v>狗</v>
      </c>
      <c r="O57" s="7" t="str">
        <f>IF(M57="","",IF(COUNTIF(M58:$M$1000,M57)&gt;0,"",M57))</f>
        <v/>
      </c>
      <c r="P57" s="8" t="str">
        <f>IF(N57="","",IF(COUNTIF(N58:$N$1000,N57)&gt;0,"",N57))</f>
        <v/>
      </c>
      <c r="Q57" s="21">
        <f t="shared" si="3"/>
        <v>71</v>
      </c>
      <c r="R57" s="22" t="str">
        <f t="shared" si="4"/>
        <v>猴</v>
      </c>
      <c r="X57" s="2">
        <v>115</v>
      </c>
      <c r="Y57" s="2" t="s">
        <v>18</v>
      </c>
    </row>
    <row r="58" s="1" customFormat="1" spans="1:25">
      <c r="A58" s="2">
        <v>115056693</v>
      </c>
      <c r="B58" s="2">
        <v>17</v>
      </c>
      <c r="C58" s="2">
        <v>21</v>
      </c>
      <c r="D58" s="2">
        <v>49</v>
      </c>
      <c r="E58" s="2">
        <v>43</v>
      </c>
      <c r="F58" s="2">
        <v>45</v>
      </c>
      <c r="G58" s="2">
        <v>23</v>
      </c>
      <c r="H58" s="3">
        <v>9</v>
      </c>
      <c r="I58" s="2" t="str">
        <f t="shared" si="0"/>
        <v>狗</v>
      </c>
      <c r="J58" s="4">
        <f>IF(H58="","",IF(OR(AND(M58&lt;&gt;"",M58=IFERROR(INDEX($M$3:M57,MIN(IF(COUNTIF($M$3:M57,"0")=0,10^9,LOOKUP(2,1/($M$3:M57="0"),ROW($M$3:M57))),IF(COUNTIF($M$3:M57,"1")=0,10^9,LOOKUP(2,1/($M$3:M57="1"),ROW($M$3:M57))),IF(COUNTIF($M$3:M57,"2")=0,10^9,LOOKUP(2,1/($M$3:M57="2"),ROW($M$3:M57))),IF(COUNTIF($M$3:M57,"3")=0,10^9,LOOKUP(2,1/($M$3:M57="3"),ROW($M$3:M57))),IF(COUNTIF($M$3:M57,"4")=0,10^9,LOOKUP(2,1/($M$3:M57="4"),ROW($M$3:M57))),IF(COUNTIF($M$3:M57,"5")=0,10^9,LOOKUP(2,1/($M$3:M57="5"),ROW($M$3:M57))),IF(COUNTIF($M$3:M57,"6")=0,10^9,LOOKUP(2,1/($M$3:M57="6"),ROW($M$3:M57))),IF(COUNTIF($M$3:M57,"7")=0,10^9,LOOKUP(2,1/($M$3:M57="7"),ROW($M$3:M57))),IF(COUNTIF($M$3:M57,"8")=0,10^9,LOOKUP(2,1/($M$3:M57="8"),ROW($M$3:M57))),IF(COUNTIF($M$3:M57,"9")=0,10^9,LOOKUP(2,1/($M$3:M57="9"),ROW($M$3:M57))))-ROW($M$3)+1),"")),AND(N58&lt;&gt;"",N58=IFERROR(INDEX($N$3:N57,MIN(IF(COUNTIF($N$3:N57,"鼠")=0,10^9,LOOKUP(2,1/($N$3:N57="鼠"),ROW($N$3:N57))),IF(COUNTIF($N$3:N57,"牛")=0,10^9,LOOKUP(2,1/($N$3:N57="牛"),ROW($N$3:N57))),IF(COUNTIF($N$3:N57,"虎")=0,10^9,LOOKUP(2,1/($N$3:N57="虎"),ROW($N$3:N57))),IF(COUNTIF($N$3:N57,"兔")=0,10^9,LOOKUP(2,1/($N$3:N57="兔"),ROW($N$3:N57))),IF(COUNTIF($N$3:N57,"龙")=0,10^9,LOOKUP(2,1/($N$3:N57="龙"),ROW($N$3:N57))),IF(COUNTIF($N$3:N57,"蛇")=0,10^9,LOOKUP(2,1/($N$3:N57="蛇"),ROW($N$3:N57))),IF(COUNTIF($N$3:N57,"马")=0,10^9,LOOKUP(2,1/($N$3:N57="马"),ROW($N$3:N57))),IF(COUNTIF($N$3:N57,"羊")=0,10^9,LOOKUP(2,1/($N$3:N57="羊"),ROW($N$3:N57))),IF(COUNTIF($N$3:N57,"猴")=0,10^9,LOOKUP(2,1/($N$3:N57="猴"),ROW($N$3:N57))),IF(COUNTIF($N$3:N57,"鸡")=0,10^9,LOOKUP(2,1/($N$3:N57="鸡"),ROW($N$3:N57))),IF(COUNTIF($N$3:N57,"狗")=0,10^9,LOOKUP(2,1/($N$3:N57="狗"),ROW($N$3:N57))),IF(COUNTIF($N$3:N57,"猪")=0,10^9,LOOKUP(2,1/($N$3:N57="猪"),ROW($N$3:N57))))-ROW($N$3)+1),""))),0,IF(ISNUMBER(J57),J57+1,1)))</f>
        <v>8</v>
      </c>
      <c r="K58" s="5">
        <f t="shared" si="6"/>
        <v>5</v>
      </c>
      <c r="M58" s="6" t="str">
        <f t="shared" si="1"/>
        <v>9</v>
      </c>
      <c r="N58" s="2" t="str">
        <f t="shared" si="2"/>
        <v>狗</v>
      </c>
      <c r="O58" s="7" t="str">
        <f>IF(M58="","",IF(COUNTIF(M59:$M$1000,M58)&gt;0,"",M58))</f>
        <v/>
      </c>
      <c r="P58" s="8" t="str">
        <f>IF(N58="","",IF(COUNTIF(N59:$N$1000,N58)&gt;0,"",N58))</f>
        <v/>
      </c>
      <c r="Q58" s="21">
        <f t="shared" si="3"/>
        <v>127</v>
      </c>
      <c r="R58" s="22" t="str">
        <f t="shared" si="4"/>
        <v>鼠</v>
      </c>
      <c r="X58" s="2">
        <v>127</v>
      </c>
      <c r="Y58" s="2" t="s">
        <v>18</v>
      </c>
    </row>
    <row r="59" s="1" customFormat="1" spans="1:25">
      <c r="A59" s="2">
        <v>115056694</v>
      </c>
      <c r="B59" s="2">
        <v>11</v>
      </c>
      <c r="C59" s="2">
        <v>17</v>
      </c>
      <c r="D59" s="2">
        <v>18</v>
      </c>
      <c r="E59" s="2">
        <v>10</v>
      </c>
      <c r="F59" s="2">
        <v>27</v>
      </c>
      <c r="G59" s="2">
        <v>12</v>
      </c>
      <c r="H59" s="3">
        <v>47</v>
      </c>
      <c r="I59" s="2" t="str">
        <f t="shared" si="0"/>
        <v>猴</v>
      </c>
      <c r="J59" s="4">
        <f>IF(H59="","",IF(OR(AND(M59&lt;&gt;"",M59=IFERROR(INDEX($M$3:M58,MIN(IF(COUNTIF($M$3:M58,"0")=0,10^9,LOOKUP(2,1/($M$3:M58="0"),ROW($M$3:M58))),IF(COUNTIF($M$3:M58,"1")=0,10^9,LOOKUP(2,1/($M$3:M58="1"),ROW($M$3:M58))),IF(COUNTIF($M$3:M58,"2")=0,10^9,LOOKUP(2,1/($M$3:M58="2"),ROW($M$3:M58))),IF(COUNTIF($M$3:M58,"3")=0,10^9,LOOKUP(2,1/($M$3:M58="3"),ROW($M$3:M58))),IF(COUNTIF($M$3:M58,"4")=0,10^9,LOOKUP(2,1/($M$3:M58="4"),ROW($M$3:M58))),IF(COUNTIF($M$3:M58,"5")=0,10^9,LOOKUP(2,1/($M$3:M58="5"),ROW($M$3:M58))),IF(COUNTIF($M$3:M58,"6")=0,10^9,LOOKUP(2,1/($M$3:M58="6"),ROW($M$3:M58))),IF(COUNTIF($M$3:M58,"7")=0,10^9,LOOKUP(2,1/($M$3:M58="7"),ROW($M$3:M58))),IF(COUNTIF($M$3:M58,"8")=0,10^9,LOOKUP(2,1/($M$3:M58="8"),ROW($M$3:M58))),IF(COUNTIF($M$3:M58,"9")=0,10^9,LOOKUP(2,1/($M$3:M58="9"),ROW($M$3:M58))))-ROW($M$3)+1),"")),AND(N59&lt;&gt;"",N59=IFERROR(INDEX($N$3:N58,MIN(IF(COUNTIF($N$3:N58,"鼠")=0,10^9,LOOKUP(2,1/($N$3:N58="鼠"),ROW($N$3:N58))),IF(COUNTIF($N$3:N58,"牛")=0,10^9,LOOKUP(2,1/($N$3:N58="牛"),ROW($N$3:N58))),IF(COUNTIF($N$3:N58,"虎")=0,10^9,LOOKUP(2,1/($N$3:N58="虎"),ROW($N$3:N58))),IF(COUNTIF($N$3:N58,"兔")=0,10^9,LOOKUP(2,1/($N$3:N58="兔"),ROW($N$3:N58))),IF(COUNTIF($N$3:N58,"龙")=0,10^9,LOOKUP(2,1/($N$3:N58="龙"),ROW($N$3:N58))),IF(COUNTIF($N$3:N58,"蛇")=0,10^9,LOOKUP(2,1/($N$3:N58="蛇"),ROW($N$3:N58))),IF(COUNTIF($N$3:N58,"马")=0,10^9,LOOKUP(2,1/($N$3:N58="马"),ROW($N$3:N58))),IF(COUNTIF($N$3:N58,"羊")=0,10^9,LOOKUP(2,1/($N$3:N58="羊"),ROW($N$3:N58))),IF(COUNTIF($N$3:N58,"猴")=0,10^9,LOOKUP(2,1/($N$3:N58="猴"),ROW($N$3:N58))),IF(COUNTIF($N$3:N58,"鸡")=0,10^9,LOOKUP(2,1/($N$3:N58="鸡"),ROW($N$3:N58))),IF(COUNTIF($N$3:N58,"狗")=0,10^9,LOOKUP(2,1/($N$3:N58="狗"),ROW($N$3:N58))),IF(COUNTIF($N$3:N58,"猪")=0,10^9,LOOKUP(2,1/($N$3:N58="猪"),ROW($N$3:N58))))-ROW($N$3)+1),""))),0,IF(ISNUMBER(J58),J58+1,1)))</f>
        <v>9</v>
      </c>
      <c r="K59" s="5">
        <f t="shared" si="6"/>
        <v>6</v>
      </c>
      <c r="M59" s="6" t="str">
        <f t="shared" si="1"/>
        <v>7</v>
      </c>
      <c r="N59" s="2" t="str">
        <f t="shared" si="2"/>
        <v>猴</v>
      </c>
      <c r="O59" s="7" t="str">
        <f>IF(M59="","",IF(COUNTIF(M60:$M$1000,M59)&gt;0,"",M59))</f>
        <v/>
      </c>
      <c r="P59" s="8" t="str">
        <f>IF(N59="","",IF(COUNTIF(N60:$N$1000,N59)&gt;0,"",N59))</f>
        <v/>
      </c>
      <c r="Q59" s="21">
        <f t="shared" si="3"/>
        <v>72</v>
      </c>
      <c r="R59" s="22" t="str">
        <f t="shared" si="4"/>
        <v>羊</v>
      </c>
      <c r="X59" s="2">
        <v>54</v>
      </c>
      <c r="Y59" s="2" t="s">
        <v>19</v>
      </c>
    </row>
    <row r="60" s="1" customFormat="1" spans="1:25">
      <c r="A60" s="2">
        <v>115056695</v>
      </c>
      <c r="B60" s="2">
        <v>7</v>
      </c>
      <c r="C60" s="2">
        <v>48</v>
      </c>
      <c r="D60" s="2">
        <v>28</v>
      </c>
      <c r="E60" s="2">
        <v>36</v>
      </c>
      <c r="F60" s="2">
        <v>14</v>
      </c>
      <c r="G60" s="2">
        <v>4</v>
      </c>
      <c r="H60" s="3">
        <v>23</v>
      </c>
      <c r="I60" s="2" t="str">
        <f t="shared" si="0"/>
        <v>猴</v>
      </c>
      <c r="J60" s="4">
        <f>IF(H60="","",IF(OR(AND(M60&lt;&gt;"",M60=IFERROR(INDEX($M$3:M59,MIN(IF(COUNTIF($M$3:M59,"0")=0,10^9,LOOKUP(2,1/($M$3:M59="0"),ROW($M$3:M59))),IF(COUNTIF($M$3:M59,"1")=0,10^9,LOOKUP(2,1/($M$3:M59="1"),ROW($M$3:M59))),IF(COUNTIF($M$3:M59,"2")=0,10^9,LOOKUP(2,1/($M$3:M59="2"),ROW($M$3:M59))),IF(COUNTIF($M$3:M59,"3")=0,10^9,LOOKUP(2,1/($M$3:M59="3"),ROW($M$3:M59))),IF(COUNTIF($M$3:M59,"4")=0,10^9,LOOKUP(2,1/($M$3:M59="4"),ROW($M$3:M59))),IF(COUNTIF($M$3:M59,"5")=0,10^9,LOOKUP(2,1/($M$3:M59="5"),ROW($M$3:M59))),IF(COUNTIF($M$3:M59,"6")=0,10^9,LOOKUP(2,1/($M$3:M59="6"),ROW($M$3:M59))),IF(COUNTIF($M$3:M59,"7")=0,10^9,LOOKUP(2,1/($M$3:M59="7"),ROW($M$3:M59))),IF(COUNTIF($M$3:M59,"8")=0,10^9,LOOKUP(2,1/($M$3:M59="8"),ROW($M$3:M59))),IF(COUNTIF($M$3:M59,"9")=0,10^9,LOOKUP(2,1/($M$3:M59="9"),ROW($M$3:M59))))-ROW($M$3)+1),"")),AND(N60&lt;&gt;"",N60=IFERROR(INDEX($N$3:N59,MIN(IF(COUNTIF($N$3:N59,"鼠")=0,10^9,LOOKUP(2,1/($N$3:N59="鼠"),ROW($N$3:N59))),IF(COUNTIF($N$3:N59,"牛")=0,10^9,LOOKUP(2,1/($N$3:N59="牛"),ROW($N$3:N59))),IF(COUNTIF($N$3:N59,"虎")=0,10^9,LOOKUP(2,1/($N$3:N59="虎"),ROW($N$3:N59))),IF(COUNTIF($N$3:N59,"兔")=0,10^9,LOOKUP(2,1/($N$3:N59="兔"),ROW($N$3:N59))),IF(COUNTIF($N$3:N59,"龙")=0,10^9,LOOKUP(2,1/($N$3:N59="龙"),ROW($N$3:N59))),IF(COUNTIF($N$3:N59,"蛇")=0,10^9,LOOKUP(2,1/($N$3:N59="蛇"),ROW($N$3:N59))),IF(COUNTIF($N$3:N59,"马")=0,10^9,LOOKUP(2,1/($N$3:N59="马"),ROW($N$3:N59))),IF(COUNTIF($N$3:N59,"羊")=0,10^9,LOOKUP(2,1/($N$3:N59="羊"),ROW($N$3:N59))),IF(COUNTIF($N$3:N59,"猴")=0,10^9,LOOKUP(2,1/($N$3:N59="猴"),ROW($N$3:N59))),IF(COUNTIF($N$3:N59,"鸡")=0,10^9,LOOKUP(2,1/($N$3:N59="鸡"),ROW($N$3:N59))),IF(COUNTIF($N$3:N59,"狗")=0,10^9,LOOKUP(2,1/($N$3:N59="狗"),ROW($N$3:N59))),IF(COUNTIF($N$3:N59,"猪")=0,10^9,LOOKUP(2,1/($N$3:N59="猪"),ROW($N$3:N59))))-ROW($N$3)+1),""))),0,IF(ISNUMBER(J59),J59+1,1)))</f>
        <v>10</v>
      </c>
      <c r="K60" s="5">
        <f t="shared" si="6"/>
        <v>7</v>
      </c>
      <c r="M60" s="6" t="str">
        <f t="shared" si="1"/>
        <v>3</v>
      </c>
      <c r="N60" s="2" t="str">
        <f t="shared" si="2"/>
        <v>猴</v>
      </c>
      <c r="O60" s="7" t="str">
        <f>IF(M60="","",IF(COUNTIF(M61:$M$1000,M60)&gt;0,"",M60))</f>
        <v/>
      </c>
      <c r="P60" s="8" t="str">
        <f>IF(N60="","",IF(COUNTIF(N61:$N$1000,N60)&gt;0,"",N60))</f>
        <v/>
      </c>
      <c r="Q60" s="21">
        <f t="shared" si="3"/>
        <v>108</v>
      </c>
      <c r="R60" s="22" t="str">
        <f t="shared" si="4"/>
        <v>羊</v>
      </c>
      <c r="X60" s="2">
        <v>66</v>
      </c>
      <c r="Y60" s="2" t="s">
        <v>19</v>
      </c>
    </row>
    <row r="61" s="1" customFormat="1" spans="1:25">
      <c r="A61" s="2">
        <v>115056696</v>
      </c>
      <c r="B61" s="2">
        <v>26</v>
      </c>
      <c r="C61" s="2">
        <v>43</v>
      </c>
      <c r="D61" s="2">
        <v>32</v>
      </c>
      <c r="E61" s="2">
        <v>18</v>
      </c>
      <c r="F61" s="2">
        <v>39</v>
      </c>
      <c r="G61" s="2">
        <v>36</v>
      </c>
      <c r="H61" s="3">
        <v>48</v>
      </c>
      <c r="I61" s="2" t="str">
        <f t="shared" si="0"/>
        <v>羊</v>
      </c>
      <c r="J61" s="4">
        <f>IF(H61="","",IF(OR(AND(M61&lt;&gt;"",M61=IFERROR(INDEX($M$3:M60,MIN(IF(COUNTIF($M$3:M60,"0")=0,10^9,LOOKUP(2,1/($M$3:M60="0"),ROW($M$3:M60))),IF(COUNTIF($M$3:M60,"1")=0,10^9,LOOKUP(2,1/($M$3:M60="1"),ROW($M$3:M60))),IF(COUNTIF($M$3:M60,"2")=0,10^9,LOOKUP(2,1/($M$3:M60="2"),ROW($M$3:M60))),IF(COUNTIF($M$3:M60,"3")=0,10^9,LOOKUP(2,1/($M$3:M60="3"),ROW($M$3:M60))),IF(COUNTIF($M$3:M60,"4")=0,10^9,LOOKUP(2,1/($M$3:M60="4"),ROW($M$3:M60))),IF(COUNTIF($M$3:M60,"5")=0,10^9,LOOKUP(2,1/($M$3:M60="5"),ROW($M$3:M60))),IF(COUNTIF($M$3:M60,"6")=0,10^9,LOOKUP(2,1/($M$3:M60="6"),ROW($M$3:M60))),IF(COUNTIF($M$3:M60,"7")=0,10^9,LOOKUP(2,1/($M$3:M60="7"),ROW($M$3:M60))),IF(COUNTIF($M$3:M60,"8")=0,10^9,LOOKUP(2,1/($M$3:M60="8"),ROW($M$3:M60))),IF(COUNTIF($M$3:M60,"9")=0,10^9,LOOKUP(2,1/($M$3:M60="9"),ROW($M$3:M60))))-ROW($M$3)+1),"")),AND(N61&lt;&gt;"",N61=IFERROR(INDEX($N$3:N60,MIN(IF(COUNTIF($N$3:N60,"鼠")=0,10^9,LOOKUP(2,1/($N$3:N60="鼠"),ROW($N$3:N60))),IF(COUNTIF($N$3:N60,"牛")=0,10^9,LOOKUP(2,1/($N$3:N60="牛"),ROW($N$3:N60))),IF(COUNTIF($N$3:N60,"虎")=0,10^9,LOOKUP(2,1/($N$3:N60="虎"),ROW($N$3:N60))),IF(COUNTIF($N$3:N60,"兔")=0,10^9,LOOKUP(2,1/($N$3:N60="兔"),ROW($N$3:N60))),IF(COUNTIF($N$3:N60,"龙")=0,10^9,LOOKUP(2,1/($N$3:N60="龙"),ROW($N$3:N60))),IF(COUNTIF($N$3:N60,"蛇")=0,10^9,LOOKUP(2,1/($N$3:N60="蛇"),ROW($N$3:N60))),IF(COUNTIF($N$3:N60,"马")=0,10^9,LOOKUP(2,1/($N$3:N60="马"),ROW($N$3:N60))),IF(COUNTIF($N$3:N60,"羊")=0,10^9,LOOKUP(2,1/($N$3:N60="羊"),ROW($N$3:N60))),IF(COUNTIF($N$3:N60,"猴")=0,10^9,LOOKUP(2,1/($N$3:N60="猴"),ROW($N$3:N60))),IF(COUNTIF($N$3:N60,"鸡")=0,10^9,LOOKUP(2,1/($N$3:N60="鸡"),ROW($N$3:N60))),IF(COUNTIF($N$3:N60,"狗")=0,10^9,LOOKUP(2,1/($N$3:N60="狗"),ROW($N$3:N60))),IF(COUNTIF($N$3:N60,"猪")=0,10^9,LOOKUP(2,1/($N$3:N60="猪"),ROW($N$3:N60))))-ROW($N$3)+1),""))),0,IF(ISNUMBER(J60),J60+1,1)))</f>
        <v>11</v>
      </c>
      <c r="K61" s="5">
        <f t="shared" si="6"/>
        <v>0</v>
      </c>
      <c r="M61" s="6" t="str">
        <f t="shared" si="1"/>
        <v>8</v>
      </c>
      <c r="N61" s="2" t="str">
        <f t="shared" si="2"/>
        <v>羊</v>
      </c>
      <c r="O61" s="7" t="str">
        <f>IF(M61="","",IF(COUNTIF(M62:$M$1000,M61)&gt;0,"",M61))</f>
        <v/>
      </c>
      <c r="P61" s="8" t="str">
        <f>IF(N61="","",IF(COUNTIF(N62:$N$1000,N61)&gt;0,"",N61))</f>
        <v/>
      </c>
      <c r="Q61" s="21">
        <f t="shared" si="3"/>
        <v>100</v>
      </c>
      <c r="R61" s="22" t="str">
        <f t="shared" si="4"/>
        <v>兔</v>
      </c>
      <c r="X61" s="2">
        <v>78</v>
      </c>
      <c r="Y61" s="2" t="s">
        <v>19</v>
      </c>
    </row>
    <row r="62" s="1" customFormat="1" spans="1:25">
      <c r="A62" s="2">
        <v>115056697</v>
      </c>
      <c r="B62" s="2">
        <v>25</v>
      </c>
      <c r="C62" s="2">
        <v>43</v>
      </c>
      <c r="D62" s="2">
        <v>44</v>
      </c>
      <c r="E62" s="2">
        <v>41</v>
      </c>
      <c r="F62" s="2">
        <v>12</v>
      </c>
      <c r="G62" s="2">
        <v>31</v>
      </c>
      <c r="H62" s="3">
        <v>49</v>
      </c>
      <c r="I62" s="2" t="str">
        <f t="shared" si="0"/>
        <v>马</v>
      </c>
      <c r="J62" s="4">
        <f>IF(H62="","",IF(OR(AND(M62&lt;&gt;"",M62=IFERROR(INDEX($M$3:M61,MIN(IF(COUNTIF($M$3:M61,"0")=0,10^9,LOOKUP(2,1/($M$3:M61="0"),ROW($M$3:M61))),IF(COUNTIF($M$3:M61,"1")=0,10^9,LOOKUP(2,1/($M$3:M61="1"),ROW($M$3:M61))),IF(COUNTIF($M$3:M61,"2")=0,10^9,LOOKUP(2,1/($M$3:M61="2"),ROW($M$3:M61))),IF(COUNTIF($M$3:M61,"3")=0,10^9,LOOKUP(2,1/($M$3:M61="3"),ROW($M$3:M61))),IF(COUNTIF($M$3:M61,"4")=0,10^9,LOOKUP(2,1/($M$3:M61="4"),ROW($M$3:M61))),IF(COUNTIF($M$3:M61,"5")=0,10^9,LOOKUP(2,1/($M$3:M61="5"),ROW($M$3:M61))),IF(COUNTIF($M$3:M61,"6")=0,10^9,LOOKUP(2,1/($M$3:M61="6"),ROW($M$3:M61))),IF(COUNTIF($M$3:M61,"7")=0,10^9,LOOKUP(2,1/($M$3:M61="7"),ROW($M$3:M61))),IF(COUNTIF($M$3:M61,"8")=0,10^9,LOOKUP(2,1/($M$3:M61="8"),ROW($M$3:M61))),IF(COUNTIF($M$3:M61,"9")=0,10^9,LOOKUP(2,1/($M$3:M61="9"),ROW($M$3:M61))))-ROW($M$3)+1),"")),AND(N62&lt;&gt;"",N62=IFERROR(INDEX($N$3:N61,MIN(IF(COUNTIF($N$3:N61,"鼠")=0,10^9,LOOKUP(2,1/($N$3:N61="鼠"),ROW($N$3:N61))),IF(COUNTIF($N$3:N61,"牛")=0,10^9,LOOKUP(2,1/($N$3:N61="牛"),ROW($N$3:N61))),IF(COUNTIF($N$3:N61,"虎")=0,10^9,LOOKUP(2,1/($N$3:N61="虎"),ROW($N$3:N61))),IF(COUNTIF($N$3:N61,"兔")=0,10^9,LOOKUP(2,1/($N$3:N61="兔"),ROW($N$3:N61))),IF(COUNTIF($N$3:N61,"龙")=0,10^9,LOOKUP(2,1/($N$3:N61="龙"),ROW($N$3:N61))),IF(COUNTIF($N$3:N61,"蛇")=0,10^9,LOOKUP(2,1/($N$3:N61="蛇"),ROW($N$3:N61))),IF(COUNTIF($N$3:N61,"马")=0,10^9,LOOKUP(2,1/($N$3:N61="马"),ROW($N$3:N61))),IF(COUNTIF($N$3:N61,"羊")=0,10^9,LOOKUP(2,1/($N$3:N61="羊"),ROW($N$3:N61))),IF(COUNTIF($N$3:N61,"猴")=0,10^9,LOOKUP(2,1/($N$3:N61="猴"),ROW($N$3:N61))),IF(COUNTIF($N$3:N61,"鸡")=0,10^9,LOOKUP(2,1/($N$3:N61="鸡"),ROW($N$3:N61))),IF(COUNTIF($N$3:N61,"狗")=0,10^9,LOOKUP(2,1/($N$3:N61="狗"),ROW($N$3:N61))),IF(COUNTIF($N$3:N61,"猪")=0,10^9,LOOKUP(2,1/($N$3:N61="猪"),ROW($N$3:N61))))-ROW($N$3)+1),""))),0,IF(ISNUMBER(J61),J61+1,1)))</f>
        <v>12</v>
      </c>
      <c r="K62" s="5">
        <f t="shared" si="6"/>
        <v>1</v>
      </c>
      <c r="M62" s="6" t="str">
        <f t="shared" si="1"/>
        <v>9</v>
      </c>
      <c r="N62" s="2" t="str">
        <f t="shared" si="2"/>
        <v>马</v>
      </c>
      <c r="O62" s="7" t="str">
        <f>IF(M62="","",IF(COUNTIF(M63:$M$1000,M62)&gt;0,"",M62))</f>
        <v/>
      </c>
      <c r="P62" s="8" t="str">
        <f>IF(N62="","",IF(COUNTIF(N63:$N$1000,N62)&gt;0,"",N62))</f>
        <v/>
      </c>
      <c r="Q62" s="21">
        <f t="shared" si="3"/>
        <v>113</v>
      </c>
      <c r="R62" s="22" t="str">
        <f t="shared" si="4"/>
        <v>虎</v>
      </c>
      <c r="X62" s="2">
        <v>90</v>
      </c>
      <c r="Y62" s="2" t="s">
        <v>19</v>
      </c>
    </row>
    <row r="63" s="1" customFormat="1" spans="1:25">
      <c r="A63" s="2">
        <v>115056698</v>
      </c>
      <c r="B63" s="2">
        <v>15</v>
      </c>
      <c r="C63" s="2">
        <v>39</v>
      </c>
      <c r="D63" s="2">
        <v>13</v>
      </c>
      <c r="E63" s="2">
        <v>1</v>
      </c>
      <c r="F63" s="2">
        <v>22</v>
      </c>
      <c r="G63" s="2">
        <v>49</v>
      </c>
      <c r="H63" s="3">
        <v>20</v>
      </c>
      <c r="I63" s="2" t="str">
        <f t="shared" si="0"/>
        <v>猪</v>
      </c>
      <c r="J63" s="4">
        <f>IF(H63="","",IF(OR(AND(M63&lt;&gt;"",M63=IFERROR(INDEX($M$3:M62,MIN(IF(COUNTIF($M$3:M62,"0")=0,10^9,LOOKUP(2,1/($M$3:M62="0"),ROW($M$3:M62))),IF(COUNTIF($M$3:M62,"1")=0,10^9,LOOKUP(2,1/($M$3:M62="1"),ROW($M$3:M62))),IF(COUNTIF($M$3:M62,"2")=0,10^9,LOOKUP(2,1/($M$3:M62="2"),ROW($M$3:M62))),IF(COUNTIF($M$3:M62,"3")=0,10^9,LOOKUP(2,1/($M$3:M62="3"),ROW($M$3:M62))),IF(COUNTIF($M$3:M62,"4")=0,10^9,LOOKUP(2,1/($M$3:M62="4"),ROW($M$3:M62))),IF(COUNTIF($M$3:M62,"5")=0,10^9,LOOKUP(2,1/($M$3:M62="5"),ROW($M$3:M62))),IF(COUNTIF($M$3:M62,"6")=0,10^9,LOOKUP(2,1/($M$3:M62="6"),ROW($M$3:M62))),IF(COUNTIF($M$3:M62,"7")=0,10^9,LOOKUP(2,1/($M$3:M62="7"),ROW($M$3:M62))),IF(COUNTIF($M$3:M62,"8")=0,10^9,LOOKUP(2,1/($M$3:M62="8"),ROW($M$3:M62))),IF(COUNTIF($M$3:M62,"9")=0,10^9,LOOKUP(2,1/($M$3:M62="9"),ROW($M$3:M62))))-ROW($M$3)+1),"")),AND(N63&lt;&gt;"",N63=IFERROR(INDEX($N$3:N62,MIN(IF(COUNTIF($N$3:N62,"鼠")=0,10^9,LOOKUP(2,1/($N$3:N62="鼠"),ROW($N$3:N62))),IF(COUNTIF($N$3:N62,"牛")=0,10^9,LOOKUP(2,1/($N$3:N62="牛"),ROW($N$3:N62))),IF(COUNTIF($N$3:N62,"虎")=0,10^9,LOOKUP(2,1/($N$3:N62="虎"),ROW($N$3:N62))),IF(COUNTIF($N$3:N62,"兔")=0,10^9,LOOKUP(2,1/($N$3:N62="兔"),ROW($N$3:N62))),IF(COUNTIF($N$3:N62,"龙")=0,10^9,LOOKUP(2,1/($N$3:N62="龙"),ROW($N$3:N62))),IF(COUNTIF($N$3:N62,"蛇")=0,10^9,LOOKUP(2,1/($N$3:N62="蛇"),ROW($N$3:N62))),IF(COUNTIF($N$3:N62,"马")=0,10^9,LOOKUP(2,1/($N$3:N62="马"),ROW($N$3:N62))),IF(COUNTIF($N$3:N62,"羊")=0,10^9,LOOKUP(2,1/($N$3:N62="羊"),ROW($N$3:N62))),IF(COUNTIF($N$3:N62,"猴")=0,10^9,LOOKUP(2,1/($N$3:N62="猴"),ROW($N$3:N62))),IF(COUNTIF($N$3:N62,"鸡")=0,10^9,LOOKUP(2,1/($N$3:N62="鸡"),ROW($N$3:N62))),IF(COUNTIF($N$3:N62,"狗")=0,10^9,LOOKUP(2,1/($N$3:N62="狗"),ROW($N$3:N62))),IF(COUNTIF($N$3:N62,"猪")=0,10^9,LOOKUP(2,1/($N$3:N62="猪"),ROW($N$3:N62))))-ROW($N$3)+1),""))),0,IF(ISNUMBER(J62),J62+1,1)))</f>
        <v>13</v>
      </c>
      <c r="K63" s="5">
        <f t="shared" si="6"/>
        <v>2</v>
      </c>
      <c r="M63" s="6" t="str">
        <f t="shared" si="1"/>
        <v>0</v>
      </c>
      <c r="N63" s="2" t="str">
        <f t="shared" si="2"/>
        <v>猪</v>
      </c>
      <c r="O63" s="7" t="str">
        <f>IF(M63="","",IF(COUNTIF(M64:$M$1000,M63)&gt;0,"",M63))</f>
        <v/>
      </c>
      <c r="P63" s="8" t="str">
        <f>IF(N63="","",IF(COUNTIF(N64:$N$1000,N63)&gt;0,"",N63))</f>
        <v/>
      </c>
      <c r="Q63" s="21">
        <f t="shared" si="3"/>
        <v>97</v>
      </c>
      <c r="R63" s="22" t="str">
        <f t="shared" si="4"/>
        <v>马</v>
      </c>
      <c r="X63" s="2">
        <v>102</v>
      </c>
      <c r="Y63" s="2" t="s">
        <v>19</v>
      </c>
    </row>
    <row r="64" s="1" customFormat="1" spans="1:25">
      <c r="A64" s="2">
        <v>115056699</v>
      </c>
      <c r="B64" s="2">
        <v>15</v>
      </c>
      <c r="C64" s="2">
        <v>23</v>
      </c>
      <c r="D64" s="2">
        <v>48</v>
      </c>
      <c r="E64" s="2">
        <v>45</v>
      </c>
      <c r="F64" s="2">
        <v>25</v>
      </c>
      <c r="G64" s="2">
        <v>28</v>
      </c>
      <c r="H64" s="3">
        <v>26</v>
      </c>
      <c r="I64" s="2" t="str">
        <f t="shared" si="0"/>
        <v>蛇</v>
      </c>
      <c r="J64" s="4">
        <f>IF(H64="","",IF(OR(AND(M64&lt;&gt;"",M64=IFERROR(INDEX($M$3:M63,MIN(IF(COUNTIF($M$3:M63,"0")=0,10^9,LOOKUP(2,1/($M$3:M63="0"),ROW($M$3:M63))),IF(COUNTIF($M$3:M63,"1")=0,10^9,LOOKUP(2,1/($M$3:M63="1"),ROW($M$3:M63))),IF(COUNTIF($M$3:M63,"2")=0,10^9,LOOKUP(2,1/($M$3:M63="2"),ROW($M$3:M63))),IF(COUNTIF($M$3:M63,"3")=0,10^9,LOOKUP(2,1/($M$3:M63="3"),ROW($M$3:M63))),IF(COUNTIF($M$3:M63,"4")=0,10^9,LOOKUP(2,1/($M$3:M63="4"),ROW($M$3:M63))),IF(COUNTIF($M$3:M63,"5")=0,10^9,LOOKUP(2,1/($M$3:M63="5"),ROW($M$3:M63))),IF(COUNTIF($M$3:M63,"6")=0,10^9,LOOKUP(2,1/($M$3:M63="6"),ROW($M$3:M63))),IF(COUNTIF($M$3:M63,"7")=0,10^9,LOOKUP(2,1/($M$3:M63="7"),ROW($M$3:M63))),IF(COUNTIF($M$3:M63,"8")=0,10^9,LOOKUP(2,1/($M$3:M63="8"),ROW($M$3:M63))),IF(COUNTIF($M$3:M63,"9")=0,10^9,LOOKUP(2,1/($M$3:M63="9"),ROW($M$3:M63))))-ROW($M$3)+1),"")),AND(N64&lt;&gt;"",N64=IFERROR(INDEX($N$3:N63,MIN(IF(COUNTIF($N$3:N63,"鼠")=0,10^9,LOOKUP(2,1/($N$3:N63="鼠"),ROW($N$3:N63))),IF(COUNTIF($N$3:N63,"牛")=0,10^9,LOOKUP(2,1/($N$3:N63="牛"),ROW($N$3:N63))),IF(COUNTIF($N$3:N63,"虎")=0,10^9,LOOKUP(2,1/($N$3:N63="虎"),ROW($N$3:N63))),IF(COUNTIF($N$3:N63,"兔")=0,10^9,LOOKUP(2,1/($N$3:N63="兔"),ROW($N$3:N63))),IF(COUNTIF($N$3:N63,"龙")=0,10^9,LOOKUP(2,1/($N$3:N63="龙"),ROW($N$3:N63))),IF(COUNTIF($N$3:N63,"蛇")=0,10^9,LOOKUP(2,1/($N$3:N63="蛇"),ROW($N$3:N63))),IF(COUNTIF($N$3:N63,"马")=0,10^9,LOOKUP(2,1/($N$3:N63="马"),ROW($N$3:N63))),IF(COUNTIF($N$3:N63,"羊")=0,10^9,LOOKUP(2,1/($N$3:N63="羊"),ROW($N$3:N63))),IF(COUNTIF($N$3:N63,"猴")=0,10^9,LOOKUP(2,1/($N$3:N63="猴"),ROW($N$3:N63))),IF(COUNTIF($N$3:N63,"鸡")=0,10^9,LOOKUP(2,1/($N$3:N63="鸡"),ROW($N$3:N63))),IF(COUNTIF($N$3:N63,"狗")=0,10^9,LOOKUP(2,1/($N$3:N63="狗"),ROW($N$3:N63))),IF(COUNTIF($N$3:N63,"猪")=0,10^9,LOOKUP(2,1/($N$3:N63="猪"),ROW($N$3:N63))))-ROW($N$3)+1),""))),0,IF(ISNUMBER(J63),J63+1,1)))</f>
        <v>14</v>
      </c>
      <c r="K64" s="5">
        <f t="shared" si="6"/>
        <v>3</v>
      </c>
      <c r="M64" s="6" t="str">
        <f t="shared" si="1"/>
        <v>6</v>
      </c>
      <c r="N64" s="2" t="str">
        <f t="shared" si="2"/>
        <v>蛇</v>
      </c>
      <c r="O64" s="7" t="str">
        <f>IF(M64="","",IF(COUNTIF(M65:$M$1000,M64)&gt;0,"",M64))</f>
        <v/>
      </c>
      <c r="P64" s="8" t="str">
        <f>IF(N64="","",IF(COUNTIF(N65:$N$1000,N64)&gt;0,"",N64))</f>
        <v/>
      </c>
      <c r="Q64" s="21">
        <f t="shared" si="3"/>
        <v>108</v>
      </c>
      <c r="R64" s="22" t="str">
        <f t="shared" si="4"/>
        <v>羊</v>
      </c>
      <c r="X64" s="2">
        <v>114</v>
      </c>
      <c r="Y64" s="2" t="s">
        <v>19</v>
      </c>
    </row>
    <row r="65" s="1" customFormat="1" spans="1:25">
      <c r="A65" s="2">
        <v>115056700</v>
      </c>
      <c r="B65" s="2">
        <v>16</v>
      </c>
      <c r="C65" s="2">
        <v>11</v>
      </c>
      <c r="D65" s="2">
        <v>9</v>
      </c>
      <c r="E65" s="2">
        <v>38</v>
      </c>
      <c r="F65" s="2">
        <v>45</v>
      </c>
      <c r="G65" s="2">
        <v>21</v>
      </c>
      <c r="H65" s="3">
        <v>24</v>
      </c>
      <c r="I65" s="2" t="str">
        <f t="shared" si="0"/>
        <v>羊</v>
      </c>
      <c r="J65" s="4">
        <f>IF(H65="","",IF(OR(AND(M65&lt;&gt;"",M65=IFERROR(INDEX($M$3:M64,MIN(IF(COUNTIF($M$3:M64,"0")=0,10^9,LOOKUP(2,1/($M$3:M64="0"),ROW($M$3:M64))),IF(COUNTIF($M$3:M64,"1")=0,10^9,LOOKUP(2,1/($M$3:M64="1"),ROW($M$3:M64))),IF(COUNTIF($M$3:M64,"2")=0,10^9,LOOKUP(2,1/($M$3:M64="2"),ROW($M$3:M64))),IF(COUNTIF($M$3:M64,"3")=0,10^9,LOOKUP(2,1/($M$3:M64="3"),ROW($M$3:M64))),IF(COUNTIF($M$3:M64,"4")=0,10^9,LOOKUP(2,1/($M$3:M64="4"),ROW($M$3:M64))),IF(COUNTIF($M$3:M64,"5")=0,10^9,LOOKUP(2,1/($M$3:M64="5"),ROW($M$3:M64))),IF(COUNTIF($M$3:M64,"6")=0,10^9,LOOKUP(2,1/($M$3:M64="6"),ROW($M$3:M64))),IF(COUNTIF($M$3:M64,"7")=0,10^9,LOOKUP(2,1/($M$3:M64="7"),ROW($M$3:M64))),IF(COUNTIF($M$3:M64,"8")=0,10^9,LOOKUP(2,1/($M$3:M64="8"),ROW($M$3:M64))),IF(COUNTIF($M$3:M64,"9")=0,10^9,LOOKUP(2,1/($M$3:M64="9"),ROW($M$3:M64))))-ROW($M$3)+1),"")),AND(N65&lt;&gt;"",N65=IFERROR(INDEX($N$3:N64,MIN(IF(COUNTIF($N$3:N64,"鼠")=0,10^9,LOOKUP(2,1/($N$3:N64="鼠"),ROW($N$3:N64))),IF(COUNTIF($N$3:N64,"牛")=0,10^9,LOOKUP(2,1/($N$3:N64="牛"),ROW($N$3:N64))),IF(COUNTIF($N$3:N64,"虎")=0,10^9,LOOKUP(2,1/($N$3:N64="虎"),ROW($N$3:N64))),IF(COUNTIF($N$3:N64,"兔")=0,10^9,LOOKUP(2,1/($N$3:N64="兔"),ROW($N$3:N64))),IF(COUNTIF($N$3:N64,"龙")=0,10^9,LOOKUP(2,1/($N$3:N64="龙"),ROW($N$3:N64))),IF(COUNTIF($N$3:N64,"蛇")=0,10^9,LOOKUP(2,1/($N$3:N64="蛇"),ROW($N$3:N64))),IF(COUNTIF($N$3:N64,"马")=0,10^9,LOOKUP(2,1/($N$3:N64="马"),ROW($N$3:N64))),IF(COUNTIF($N$3:N64,"羊")=0,10^9,LOOKUP(2,1/($N$3:N64="羊"),ROW($N$3:N64))),IF(COUNTIF($N$3:N64,"猴")=0,10^9,LOOKUP(2,1/($N$3:N64="猴"),ROW($N$3:N64))),IF(COUNTIF($N$3:N64,"鸡")=0,10^9,LOOKUP(2,1/($N$3:N64="鸡"),ROW($N$3:N64))),IF(COUNTIF($N$3:N64,"狗")=0,10^9,LOOKUP(2,1/($N$3:N64="狗"),ROW($N$3:N64))),IF(COUNTIF($N$3:N64,"猪")=0,10^9,LOOKUP(2,1/($N$3:N64="猪"),ROW($N$3:N64))))-ROW($N$3)+1),""))),0,IF(ISNUMBER(J64),J64+1,1)))</f>
        <v>15</v>
      </c>
      <c r="K65" s="5">
        <f t="shared" si="6"/>
        <v>0</v>
      </c>
      <c r="M65" s="6" t="str">
        <f t="shared" si="1"/>
        <v>4</v>
      </c>
      <c r="N65" s="2" t="str">
        <f t="shared" si="2"/>
        <v>羊</v>
      </c>
      <c r="O65" s="7" t="str">
        <f>IF(M65="","",IF(COUNTIF(M66:$M$1000,M65)&gt;0,"",M65))</f>
        <v/>
      </c>
      <c r="P65" s="8" t="str">
        <f>IF(N65="","",IF(COUNTIF(N66:$N$1000,N65)&gt;0,"",N65))</f>
        <v/>
      </c>
      <c r="Q65" s="21">
        <f t="shared" si="3"/>
        <v>87</v>
      </c>
      <c r="R65" s="22" t="str">
        <f t="shared" si="4"/>
        <v>龙</v>
      </c>
      <c r="X65" s="2">
        <v>126</v>
      </c>
      <c r="Y65" s="2" t="s">
        <v>19</v>
      </c>
    </row>
    <row r="66" s="1" customFormat="1" spans="1:25">
      <c r="A66" s="2">
        <v>115056701</v>
      </c>
      <c r="B66" s="2">
        <v>16</v>
      </c>
      <c r="C66" s="2">
        <v>43</v>
      </c>
      <c r="D66" s="2">
        <v>12</v>
      </c>
      <c r="E66" s="2">
        <v>8</v>
      </c>
      <c r="F66" s="2">
        <v>41</v>
      </c>
      <c r="G66" s="2">
        <v>38</v>
      </c>
      <c r="H66" s="3">
        <v>11</v>
      </c>
      <c r="I66" s="2" t="str">
        <f t="shared" si="0"/>
        <v>猴</v>
      </c>
      <c r="J66" s="4">
        <f>IF(H66="","",IF(OR(AND(M66&lt;&gt;"",M66=IFERROR(INDEX($M$3:M65,MIN(IF(COUNTIF($M$3:M65,"0")=0,10^9,LOOKUP(2,1/($M$3:M65="0"),ROW($M$3:M65))),IF(COUNTIF($M$3:M65,"1")=0,10^9,LOOKUP(2,1/($M$3:M65="1"),ROW($M$3:M65))),IF(COUNTIF($M$3:M65,"2")=0,10^9,LOOKUP(2,1/($M$3:M65="2"),ROW($M$3:M65))),IF(COUNTIF($M$3:M65,"3")=0,10^9,LOOKUP(2,1/($M$3:M65="3"),ROW($M$3:M65))),IF(COUNTIF($M$3:M65,"4")=0,10^9,LOOKUP(2,1/($M$3:M65="4"),ROW($M$3:M65))),IF(COUNTIF($M$3:M65,"5")=0,10^9,LOOKUP(2,1/($M$3:M65="5"),ROW($M$3:M65))),IF(COUNTIF($M$3:M65,"6")=0,10^9,LOOKUP(2,1/($M$3:M65="6"),ROW($M$3:M65))),IF(COUNTIF($M$3:M65,"7")=0,10^9,LOOKUP(2,1/($M$3:M65="7"),ROW($M$3:M65))),IF(COUNTIF($M$3:M65,"8")=0,10^9,LOOKUP(2,1/($M$3:M65="8"),ROW($M$3:M65))),IF(COUNTIF($M$3:M65,"9")=0,10^9,LOOKUP(2,1/($M$3:M65="9"),ROW($M$3:M65))))-ROW($M$3)+1),"")),AND(N66&lt;&gt;"",N66=IFERROR(INDEX($N$3:N65,MIN(IF(COUNTIF($N$3:N65,"鼠")=0,10^9,LOOKUP(2,1/($N$3:N65="鼠"),ROW($N$3:N65))),IF(COUNTIF($N$3:N65,"牛")=0,10^9,LOOKUP(2,1/($N$3:N65="牛"),ROW($N$3:N65))),IF(COUNTIF($N$3:N65,"虎")=0,10^9,LOOKUP(2,1/($N$3:N65="虎"),ROW($N$3:N65))),IF(COUNTIF($N$3:N65,"兔")=0,10^9,LOOKUP(2,1/($N$3:N65="兔"),ROW($N$3:N65))),IF(COUNTIF($N$3:N65,"龙")=0,10^9,LOOKUP(2,1/($N$3:N65="龙"),ROW($N$3:N65))),IF(COUNTIF($N$3:N65,"蛇")=0,10^9,LOOKUP(2,1/($N$3:N65="蛇"),ROW($N$3:N65))),IF(COUNTIF($N$3:N65,"马")=0,10^9,LOOKUP(2,1/($N$3:N65="马"),ROW($N$3:N65))),IF(COUNTIF($N$3:N65,"羊")=0,10^9,LOOKUP(2,1/($N$3:N65="羊"),ROW($N$3:N65))),IF(COUNTIF($N$3:N65,"猴")=0,10^9,LOOKUP(2,1/($N$3:N65="猴"),ROW($N$3:N65))),IF(COUNTIF($N$3:N65,"鸡")=0,10^9,LOOKUP(2,1/($N$3:N65="鸡"),ROW($N$3:N65))),IF(COUNTIF($N$3:N65,"狗")=0,10^9,LOOKUP(2,1/($N$3:N65="狗"),ROW($N$3:N65))),IF(COUNTIF($N$3:N65,"猪")=0,10^9,LOOKUP(2,1/($N$3:N65="猪"),ROW($N$3:N65))))-ROW($N$3)+1),""))),0,IF(ISNUMBER(J65),J65+1,1)))</f>
        <v>0</v>
      </c>
      <c r="K66" s="5">
        <f t="shared" si="6"/>
        <v>1</v>
      </c>
      <c r="M66" s="6" t="str">
        <f t="shared" si="1"/>
        <v>1</v>
      </c>
      <c r="N66" s="2" t="str">
        <f t="shared" si="2"/>
        <v>猴</v>
      </c>
      <c r="O66" s="7" t="str">
        <f>IF(M66="","",IF(COUNTIF(M67:$M$1000,M66)&gt;0,"",M66))</f>
        <v/>
      </c>
      <c r="P66" s="8" t="str">
        <f>IF(N66="","",IF(COUNTIF(N67:$N$1000,N66)&gt;0,"",N66))</f>
        <v/>
      </c>
      <c r="Q66" s="21">
        <f t="shared" si="3"/>
        <v>105</v>
      </c>
      <c r="R66" s="22" t="str">
        <f t="shared" si="4"/>
        <v>狗</v>
      </c>
      <c r="X66" s="2">
        <v>53</v>
      </c>
      <c r="Y66" s="2" t="s">
        <v>20</v>
      </c>
    </row>
    <row r="67" s="1" customFormat="1" spans="1:25">
      <c r="A67" s="2">
        <v>115056702</v>
      </c>
      <c r="B67" s="2">
        <v>38</v>
      </c>
      <c r="C67" s="2">
        <v>2</v>
      </c>
      <c r="D67" s="2">
        <v>3</v>
      </c>
      <c r="E67" s="2">
        <v>17</v>
      </c>
      <c r="F67" s="2">
        <v>36</v>
      </c>
      <c r="G67" s="2">
        <v>23</v>
      </c>
      <c r="H67" s="3">
        <v>37</v>
      </c>
      <c r="I67" s="2" t="str">
        <f t="shared" ref="I67:I130" si="7">VLOOKUP(H67,X:Y,2,0)</f>
        <v>马</v>
      </c>
      <c r="J67" s="4">
        <f>IF(H67="","",IF(OR(AND(M67&lt;&gt;"",M67=IFERROR(INDEX($M$3:M66,MIN(IF(COUNTIF($M$3:M66,"0")=0,10^9,LOOKUP(2,1/($M$3:M66="0"),ROW($M$3:M66))),IF(COUNTIF($M$3:M66,"1")=0,10^9,LOOKUP(2,1/($M$3:M66="1"),ROW($M$3:M66))),IF(COUNTIF($M$3:M66,"2")=0,10^9,LOOKUP(2,1/($M$3:M66="2"),ROW($M$3:M66))),IF(COUNTIF($M$3:M66,"3")=0,10^9,LOOKUP(2,1/($M$3:M66="3"),ROW($M$3:M66))),IF(COUNTIF($M$3:M66,"4")=0,10^9,LOOKUP(2,1/($M$3:M66="4"),ROW($M$3:M66))),IF(COUNTIF($M$3:M66,"5")=0,10^9,LOOKUP(2,1/($M$3:M66="5"),ROW($M$3:M66))),IF(COUNTIF($M$3:M66,"6")=0,10^9,LOOKUP(2,1/($M$3:M66="6"),ROW($M$3:M66))),IF(COUNTIF($M$3:M66,"7")=0,10^9,LOOKUP(2,1/($M$3:M66="7"),ROW($M$3:M66))),IF(COUNTIF($M$3:M66,"8")=0,10^9,LOOKUP(2,1/($M$3:M66="8"),ROW($M$3:M66))),IF(COUNTIF($M$3:M66,"9")=0,10^9,LOOKUP(2,1/($M$3:M66="9"),ROW($M$3:M66))))-ROW($M$3)+1),"")),AND(N67&lt;&gt;"",N67=IFERROR(INDEX($N$3:N66,MIN(IF(COUNTIF($N$3:N66,"鼠")=0,10^9,LOOKUP(2,1/($N$3:N66="鼠"),ROW($N$3:N66))),IF(COUNTIF($N$3:N66,"牛")=0,10^9,LOOKUP(2,1/($N$3:N66="牛"),ROW($N$3:N66))),IF(COUNTIF($N$3:N66,"虎")=0,10^9,LOOKUP(2,1/($N$3:N66="虎"),ROW($N$3:N66))),IF(COUNTIF($N$3:N66,"兔")=0,10^9,LOOKUP(2,1/($N$3:N66="兔"),ROW($N$3:N66))),IF(COUNTIF($N$3:N66,"龙")=0,10^9,LOOKUP(2,1/($N$3:N66="龙"),ROW($N$3:N66))),IF(COUNTIF($N$3:N66,"蛇")=0,10^9,LOOKUP(2,1/($N$3:N66="蛇"),ROW($N$3:N66))),IF(COUNTIF($N$3:N66,"马")=0,10^9,LOOKUP(2,1/($N$3:N66="马"),ROW($N$3:N66))),IF(COUNTIF($N$3:N66,"羊")=0,10^9,LOOKUP(2,1/($N$3:N66="羊"),ROW($N$3:N66))),IF(COUNTIF($N$3:N66,"猴")=0,10^9,LOOKUP(2,1/($N$3:N66="猴"),ROW($N$3:N66))),IF(COUNTIF($N$3:N66,"鸡")=0,10^9,LOOKUP(2,1/($N$3:N66="鸡"),ROW($N$3:N66))),IF(COUNTIF($N$3:N66,"狗")=0,10^9,LOOKUP(2,1/($N$3:N66="狗"),ROW($N$3:N66))),IF(COUNTIF($N$3:N66,"猪")=0,10^9,LOOKUP(2,1/($N$3:N66="猪"),ROW($N$3:N66))))-ROW($N$3)+1),""))),0,IF(ISNUMBER(J66),J66+1,1)))</f>
        <v>1</v>
      </c>
      <c r="K67" s="5">
        <f t="shared" si="6"/>
        <v>2</v>
      </c>
      <c r="M67" s="6" t="str">
        <f t="shared" ref="M67:M130" si="8">RIGHT(H67,1)</f>
        <v>7</v>
      </c>
      <c r="N67" s="2" t="str">
        <f t="shared" ref="N67:N130" si="9">I67</f>
        <v>马</v>
      </c>
      <c r="O67" s="7" t="str">
        <f>IF(M67="","",IF(COUNTIF(M68:$M$1000,M67)&gt;0,"",M67))</f>
        <v/>
      </c>
      <c r="P67" s="8" t="str">
        <f>IF(N67="","",IF(COUNTIF(N68:$N$1000,N67)&gt;0,"",N67))</f>
        <v/>
      </c>
      <c r="Q67" s="21">
        <f t="shared" ref="Q67:Q130" si="10">MOD(INT(SMALL(B67:G67,5)/10)+MOD(SMALL(B67:G67,5),10),10)+INT(SMALL(B67:G67,4)/10)+INT(SMALL(B67:G67,6)/10)+MOD(SMALL(B67:G67,6),10)+SMALL(B67:G67,4)+SMALL(B67:G67,6)+9</f>
        <v>92</v>
      </c>
      <c r="R67" s="22" t="str">
        <f t="shared" ref="R67:R130" si="11">VLOOKUP(Q67,X:Y,2,0)</f>
        <v>猪</v>
      </c>
      <c r="X67" s="2">
        <v>65</v>
      </c>
      <c r="Y67" s="2" t="s">
        <v>20</v>
      </c>
    </row>
    <row r="68" s="1" customFormat="1" spans="1:25">
      <c r="A68" s="2">
        <v>115056703</v>
      </c>
      <c r="B68" s="2">
        <v>48</v>
      </c>
      <c r="C68" s="2">
        <v>15</v>
      </c>
      <c r="D68" s="2">
        <v>19</v>
      </c>
      <c r="E68" s="2">
        <v>10</v>
      </c>
      <c r="F68" s="2">
        <v>30</v>
      </c>
      <c r="G68" s="2">
        <v>8</v>
      </c>
      <c r="H68" s="3">
        <v>27</v>
      </c>
      <c r="I68" s="2" t="str">
        <f t="shared" si="7"/>
        <v>龙</v>
      </c>
      <c r="J68" s="4">
        <f>IF(H68="","",IF(OR(AND(M68&lt;&gt;"",M68=IFERROR(INDEX($M$3:M67,MIN(IF(COUNTIF($M$3:M67,"0")=0,10^9,LOOKUP(2,1/($M$3:M67="0"),ROW($M$3:M67))),IF(COUNTIF($M$3:M67,"1")=0,10^9,LOOKUP(2,1/($M$3:M67="1"),ROW($M$3:M67))),IF(COUNTIF($M$3:M67,"2")=0,10^9,LOOKUP(2,1/($M$3:M67="2"),ROW($M$3:M67))),IF(COUNTIF($M$3:M67,"3")=0,10^9,LOOKUP(2,1/($M$3:M67="3"),ROW($M$3:M67))),IF(COUNTIF($M$3:M67,"4")=0,10^9,LOOKUP(2,1/($M$3:M67="4"),ROW($M$3:M67))),IF(COUNTIF($M$3:M67,"5")=0,10^9,LOOKUP(2,1/($M$3:M67="5"),ROW($M$3:M67))),IF(COUNTIF($M$3:M67,"6")=0,10^9,LOOKUP(2,1/($M$3:M67="6"),ROW($M$3:M67))),IF(COUNTIF($M$3:M67,"7")=0,10^9,LOOKUP(2,1/($M$3:M67="7"),ROW($M$3:M67))),IF(COUNTIF($M$3:M67,"8")=0,10^9,LOOKUP(2,1/($M$3:M67="8"),ROW($M$3:M67))),IF(COUNTIF($M$3:M67,"9")=0,10^9,LOOKUP(2,1/($M$3:M67="9"),ROW($M$3:M67))))-ROW($M$3)+1),"")),AND(N68&lt;&gt;"",N68=IFERROR(INDEX($N$3:N67,MIN(IF(COUNTIF($N$3:N67,"鼠")=0,10^9,LOOKUP(2,1/($N$3:N67="鼠"),ROW($N$3:N67))),IF(COUNTIF($N$3:N67,"牛")=0,10^9,LOOKUP(2,1/($N$3:N67="牛"),ROW($N$3:N67))),IF(COUNTIF($N$3:N67,"虎")=0,10^9,LOOKUP(2,1/($N$3:N67="虎"),ROW($N$3:N67))),IF(COUNTIF($N$3:N67,"兔")=0,10^9,LOOKUP(2,1/($N$3:N67="兔"),ROW($N$3:N67))),IF(COUNTIF($N$3:N67,"龙")=0,10^9,LOOKUP(2,1/($N$3:N67="龙"),ROW($N$3:N67))),IF(COUNTIF($N$3:N67,"蛇")=0,10^9,LOOKUP(2,1/($N$3:N67="蛇"),ROW($N$3:N67))),IF(COUNTIF($N$3:N67,"马")=0,10^9,LOOKUP(2,1/($N$3:N67="马"),ROW($N$3:N67))),IF(COUNTIF($N$3:N67,"羊")=0,10^9,LOOKUP(2,1/($N$3:N67="羊"),ROW($N$3:N67))),IF(COUNTIF($N$3:N67,"猴")=0,10^9,LOOKUP(2,1/($N$3:N67="猴"),ROW($N$3:N67))),IF(COUNTIF($N$3:N67,"鸡")=0,10^9,LOOKUP(2,1/($N$3:N67="鸡"),ROW($N$3:N67))),IF(COUNTIF($N$3:N67,"狗")=0,10^9,LOOKUP(2,1/($N$3:N67="狗"),ROW($N$3:N67))),IF(COUNTIF($N$3:N67,"猪")=0,10^9,LOOKUP(2,1/($N$3:N67="猪"),ROW($N$3:N67))))-ROW($N$3)+1),""))),0,IF(ISNUMBER(J67),J67+1,1)))</f>
        <v>2</v>
      </c>
      <c r="K68" s="5">
        <f t="shared" ref="K68:K131" si="12">IF(I68=R67,0,K67+1)</f>
        <v>3</v>
      </c>
      <c r="M68" s="6" t="str">
        <f t="shared" si="8"/>
        <v>7</v>
      </c>
      <c r="N68" s="2" t="str">
        <f t="shared" si="9"/>
        <v>龙</v>
      </c>
      <c r="O68" s="7" t="str">
        <f>IF(M68="","",IF(COUNTIF(M69:$M$1000,M68)&gt;0,"",M68))</f>
        <v/>
      </c>
      <c r="P68" s="8" t="str">
        <f>IF(N68="","",IF(COUNTIF(N69:$N$1000,N68)&gt;0,"",N68))</f>
        <v/>
      </c>
      <c r="Q68" s="21">
        <f t="shared" si="10"/>
        <v>92</v>
      </c>
      <c r="R68" s="22" t="str">
        <f t="shared" si="11"/>
        <v>猪</v>
      </c>
      <c r="X68" s="2">
        <v>77</v>
      </c>
      <c r="Y68" s="2" t="s">
        <v>20</v>
      </c>
    </row>
    <row r="69" s="1" customFormat="1" spans="1:25">
      <c r="A69" s="2">
        <v>115056704</v>
      </c>
      <c r="B69" s="2">
        <v>10</v>
      </c>
      <c r="C69" s="2">
        <v>13</v>
      </c>
      <c r="D69" s="2">
        <v>34</v>
      </c>
      <c r="E69" s="2">
        <v>29</v>
      </c>
      <c r="F69" s="2">
        <v>35</v>
      </c>
      <c r="G69" s="2">
        <v>24</v>
      </c>
      <c r="H69" s="3">
        <v>5</v>
      </c>
      <c r="I69" s="2" t="str">
        <f t="shared" si="7"/>
        <v>虎</v>
      </c>
      <c r="J69" s="4">
        <f>IF(H69="","",IF(OR(AND(M69&lt;&gt;"",M69=IFERROR(INDEX($M$3:M68,MIN(IF(COUNTIF($M$3:M68,"0")=0,10^9,LOOKUP(2,1/($M$3:M68="0"),ROW($M$3:M68))),IF(COUNTIF($M$3:M68,"1")=0,10^9,LOOKUP(2,1/($M$3:M68="1"),ROW($M$3:M68))),IF(COUNTIF($M$3:M68,"2")=0,10^9,LOOKUP(2,1/($M$3:M68="2"),ROW($M$3:M68))),IF(COUNTIF($M$3:M68,"3")=0,10^9,LOOKUP(2,1/($M$3:M68="3"),ROW($M$3:M68))),IF(COUNTIF($M$3:M68,"4")=0,10^9,LOOKUP(2,1/($M$3:M68="4"),ROW($M$3:M68))),IF(COUNTIF($M$3:M68,"5")=0,10^9,LOOKUP(2,1/($M$3:M68="5"),ROW($M$3:M68))),IF(COUNTIF($M$3:M68,"6")=0,10^9,LOOKUP(2,1/($M$3:M68="6"),ROW($M$3:M68))),IF(COUNTIF($M$3:M68,"7")=0,10^9,LOOKUP(2,1/($M$3:M68="7"),ROW($M$3:M68))),IF(COUNTIF($M$3:M68,"8")=0,10^9,LOOKUP(2,1/($M$3:M68="8"),ROW($M$3:M68))),IF(COUNTIF($M$3:M68,"9")=0,10^9,LOOKUP(2,1/($M$3:M68="9"),ROW($M$3:M68))))-ROW($M$3)+1),"")),AND(N69&lt;&gt;"",N69=IFERROR(INDEX($N$3:N68,MIN(IF(COUNTIF($N$3:N68,"鼠")=0,10^9,LOOKUP(2,1/($N$3:N68="鼠"),ROW($N$3:N68))),IF(COUNTIF($N$3:N68,"牛")=0,10^9,LOOKUP(2,1/($N$3:N68="牛"),ROW($N$3:N68))),IF(COUNTIF($N$3:N68,"虎")=0,10^9,LOOKUP(2,1/($N$3:N68="虎"),ROW($N$3:N68))),IF(COUNTIF($N$3:N68,"兔")=0,10^9,LOOKUP(2,1/($N$3:N68="兔"),ROW($N$3:N68))),IF(COUNTIF($N$3:N68,"龙")=0,10^9,LOOKUP(2,1/($N$3:N68="龙"),ROW($N$3:N68))),IF(COUNTIF($N$3:N68,"蛇")=0,10^9,LOOKUP(2,1/($N$3:N68="蛇"),ROW($N$3:N68))),IF(COUNTIF($N$3:N68,"马")=0,10^9,LOOKUP(2,1/($N$3:N68="马"),ROW($N$3:N68))),IF(COUNTIF($N$3:N68,"羊")=0,10^9,LOOKUP(2,1/($N$3:N68="羊"),ROW($N$3:N68))),IF(COUNTIF($N$3:N68,"猴")=0,10^9,LOOKUP(2,1/($N$3:N68="猴"),ROW($N$3:N68))),IF(COUNTIF($N$3:N68,"鸡")=0,10^9,LOOKUP(2,1/($N$3:N68="鸡"),ROW($N$3:N68))),IF(COUNTIF($N$3:N68,"狗")=0,10^9,LOOKUP(2,1/($N$3:N68="狗"),ROW($N$3:N68))),IF(COUNTIF($N$3:N68,"猪")=0,10^9,LOOKUP(2,1/($N$3:N68="猪"),ROW($N$3:N68))))-ROW($N$3)+1),""))),0,IF(ISNUMBER(J68),J68+1,1)))</f>
        <v>3</v>
      </c>
      <c r="K69" s="5">
        <f t="shared" si="12"/>
        <v>4</v>
      </c>
      <c r="M69" s="6" t="str">
        <f t="shared" si="8"/>
        <v>5</v>
      </c>
      <c r="N69" s="2" t="str">
        <f t="shared" si="9"/>
        <v>虎</v>
      </c>
      <c r="O69" s="7" t="str">
        <f>IF(M69="","",IF(COUNTIF(M70:$M$1000,M69)&gt;0,"",M69))</f>
        <v/>
      </c>
      <c r="P69" s="8" t="str">
        <f>IF(N69="","",IF(COUNTIF(N70:$N$1000,N69)&gt;0,"",N69))</f>
        <v/>
      </c>
      <c r="Q69" s="21">
        <f t="shared" si="10"/>
        <v>90</v>
      </c>
      <c r="R69" s="22" t="str">
        <f t="shared" si="11"/>
        <v>牛</v>
      </c>
      <c r="X69" s="2">
        <v>89</v>
      </c>
      <c r="Y69" s="2" t="s">
        <v>20</v>
      </c>
    </row>
    <row r="70" s="1" customFormat="1" spans="1:25">
      <c r="A70" s="2">
        <v>115056705</v>
      </c>
      <c r="B70" s="2">
        <v>4</v>
      </c>
      <c r="C70" s="2">
        <v>9</v>
      </c>
      <c r="D70" s="2">
        <v>16</v>
      </c>
      <c r="E70" s="2">
        <v>24</v>
      </c>
      <c r="F70" s="2">
        <v>36</v>
      </c>
      <c r="G70" s="2">
        <v>27</v>
      </c>
      <c r="H70" s="3">
        <v>17</v>
      </c>
      <c r="I70" s="2" t="str">
        <f t="shared" si="7"/>
        <v>虎</v>
      </c>
      <c r="J70" s="4">
        <f>IF(H70="","",IF(OR(AND(M70&lt;&gt;"",M70=IFERROR(INDEX($M$3:M69,MIN(IF(COUNTIF($M$3:M69,"0")=0,10^9,LOOKUP(2,1/($M$3:M69="0"),ROW($M$3:M69))),IF(COUNTIF($M$3:M69,"1")=0,10^9,LOOKUP(2,1/($M$3:M69="1"),ROW($M$3:M69))),IF(COUNTIF($M$3:M69,"2")=0,10^9,LOOKUP(2,1/($M$3:M69="2"),ROW($M$3:M69))),IF(COUNTIF($M$3:M69,"3")=0,10^9,LOOKUP(2,1/($M$3:M69="3"),ROW($M$3:M69))),IF(COUNTIF($M$3:M69,"4")=0,10^9,LOOKUP(2,1/($M$3:M69="4"),ROW($M$3:M69))),IF(COUNTIF($M$3:M69,"5")=0,10^9,LOOKUP(2,1/($M$3:M69="5"),ROW($M$3:M69))),IF(COUNTIF($M$3:M69,"6")=0,10^9,LOOKUP(2,1/($M$3:M69="6"),ROW($M$3:M69))),IF(COUNTIF($M$3:M69,"7")=0,10^9,LOOKUP(2,1/($M$3:M69="7"),ROW($M$3:M69))),IF(COUNTIF($M$3:M69,"8")=0,10^9,LOOKUP(2,1/($M$3:M69="8"),ROW($M$3:M69))),IF(COUNTIF($M$3:M69,"9")=0,10^9,LOOKUP(2,1/($M$3:M69="9"),ROW($M$3:M69))))-ROW($M$3)+1),"")),AND(N70&lt;&gt;"",N70=IFERROR(INDEX($N$3:N69,MIN(IF(COUNTIF($N$3:N69,"鼠")=0,10^9,LOOKUP(2,1/($N$3:N69="鼠"),ROW($N$3:N69))),IF(COUNTIF($N$3:N69,"牛")=0,10^9,LOOKUP(2,1/($N$3:N69="牛"),ROW($N$3:N69))),IF(COUNTIF($N$3:N69,"虎")=0,10^9,LOOKUP(2,1/($N$3:N69="虎"),ROW($N$3:N69))),IF(COUNTIF($N$3:N69,"兔")=0,10^9,LOOKUP(2,1/($N$3:N69="兔"),ROW($N$3:N69))),IF(COUNTIF($N$3:N69,"龙")=0,10^9,LOOKUP(2,1/($N$3:N69="龙"),ROW($N$3:N69))),IF(COUNTIF($N$3:N69,"蛇")=0,10^9,LOOKUP(2,1/($N$3:N69="蛇"),ROW($N$3:N69))),IF(COUNTIF($N$3:N69,"马")=0,10^9,LOOKUP(2,1/($N$3:N69="马"),ROW($N$3:N69))),IF(COUNTIF($N$3:N69,"羊")=0,10^9,LOOKUP(2,1/($N$3:N69="羊"),ROW($N$3:N69))),IF(COUNTIF($N$3:N69,"猴")=0,10^9,LOOKUP(2,1/($N$3:N69="猴"),ROW($N$3:N69))),IF(COUNTIF($N$3:N69,"鸡")=0,10^9,LOOKUP(2,1/($N$3:N69="鸡"),ROW($N$3:N69))),IF(COUNTIF($N$3:N69,"狗")=0,10^9,LOOKUP(2,1/($N$3:N69="狗"),ROW($N$3:N69))),IF(COUNTIF($N$3:N69,"猪")=0,10^9,LOOKUP(2,1/($N$3:N69="猪"),ROW($N$3:N69))))-ROW($N$3)+1),""))),0,IF(ISNUMBER(J69),J69+1,1)))</f>
        <v>4</v>
      </c>
      <c r="K70" s="5">
        <f t="shared" si="12"/>
        <v>5</v>
      </c>
      <c r="M70" s="6" t="str">
        <f t="shared" si="8"/>
        <v>7</v>
      </c>
      <c r="N70" s="2" t="str">
        <f t="shared" si="9"/>
        <v>虎</v>
      </c>
      <c r="O70" s="7" t="str">
        <f>IF(M70="","",IF(COUNTIF(M71:$M$1000,M70)&gt;0,"",M70))</f>
        <v/>
      </c>
      <c r="P70" s="8" t="str">
        <f>IF(N70="","",IF(COUNTIF(N71:$N$1000,N70)&gt;0,"",N70))</f>
        <v/>
      </c>
      <c r="Q70" s="21">
        <f t="shared" si="10"/>
        <v>89</v>
      </c>
      <c r="R70" s="22" t="str">
        <f t="shared" si="11"/>
        <v>虎</v>
      </c>
      <c r="X70" s="2">
        <v>101</v>
      </c>
      <c r="Y70" s="2" t="s">
        <v>20</v>
      </c>
    </row>
    <row r="71" s="1" customFormat="1" spans="1:25">
      <c r="A71" s="2">
        <v>115056706</v>
      </c>
      <c r="B71" s="2">
        <v>48</v>
      </c>
      <c r="C71" s="2">
        <v>22</v>
      </c>
      <c r="D71" s="2">
        <v>14</v>
      </c>
      <c r="E71" s="2">
        <v>29</v>
      </c>
      <c r="F71" s="2">
        <v>30</v>
      </c>
      <c r="G71" s="2">
        <v>3</v>
      </c>
      <c r="H71" s="3">
        <v>10</v>
      </c>
      <c r="I71" s="2" t="str">
        <f t="shared" si="7"/>
        <v>鸡</v>
      </c>
      <c r="J71" s="4">
        <f>IF(H71="","",IF(OR(AND(M71&lt;&gt;"",M71=IFERROR(INDEX($M$3:M70,MIN(IF(COUNTIF($M$3:M70,"0")=0,10^9,LOOKUP(2,1/($M$3:M70="0"),ROW($M$3:M70))),IF(COUNTIF($M$3:M70,"1")=0,10^9,LOOKUP(2,1/($M$3:M70="1"),ROW($M$3:M70))),IF(COUNTIF($M$3:M70,"2")=0,10^9,LOOKUP(2,1/($M$3:M70="2"),ROW($M$3:M70))),IF(COUNTIF($M$3:M70,"3")=0,10^9,LOOKUP(2,1/($M$3:M70="3"),ROW($M$3:M70))),IF(COUNTIF($M$3:M70,"4")=0,10^9,LOOKUP(2,1/($M$3:M70="4"),ROW($M$3:M70))),IF(COUNTIF($M$3:M70,"5")=0,10^9,LOOKUP(2,1/($M$3:M70="5"),ROW($M$3:M70))),IF(COUNTIF($M$3:M70,"6")=0,10^9,LOOKUP(2,1/($M$3:M70="6"),ROW($M$3:M70))),IF(COUNTIF($M$3:M70,"7")=0,10^9,LOOKUP(2,1/($M$3:M70="7"),ROW($M$3:M70))),IF(COUNTIF($M$3:M70,"8")=0,10^9,LOOKUP(2,1/($M$3:M70="8"),ROW($M$3:M70))),IF(COUNTIF($M$3:M70,"9")=0,10^9,LOOKUP(2,1/($M$3:M70="9"),ROW($M$3:M70))))-ROW($M$3)+1),"")),AND(N71&lt;&gt;"",N71=IFERROR(INDEX($N$3:N70,MIN(IF(COUNTIF($N$3:N70,"鼠")=0,10^9,LOOKUP(2,1/($N$3:N70="鼠"),ROW($N$3:N70))),IF(COUNTIF($N$3:N70,"牛")=0,10^9,LOOKUP(2,1/($N$3:N70="牛"),ROW($N$3:N70))),IF(COUNTIF($N$3:N70,"虎")=0,10^9,LOOKUP(2,1/($N$3:N70="虎"),ROW($N$3:N70))),IF(COUNTIF($N$3:N70,"兔")=0,10^9,LOOKUP(2,1/($N$3:N70="兔"),ROW($N$3:N70))),IF(COUNTIF($N$3:N70,"龙")=0,10^9,LOOKUP(2,1/($N$3:N70="龙"),ROW($N$3:N70))),IF(COUNTIF($N$3:N70,"蛇")=0,10^9,LOOKUP(2,1/($N$3:N70="蛇"),ROW($N$3:N70))),IF(COUNTIF($N$3:N70,"马")=0,10^9,LOOKUP(2,1/($N$3:N70="马"),ROW($N$3:N70))),IF(COUNTIF($N$3:N70,"羊")=0,10^9,LOOKUP(2,1/($N$3:N70="羊"),ROW($N$3:N70))),IF(COUNTIF($N$3:N70,"猴")=0,10^9,LOOKUP(2,1/($N$3:N70="猴"),ROW($N$3:N70))),IF(COUNTIF($N$3:N70,"鸡")=0,10^9,LOOKUP(2,1/($N$3:N70="鸡"),ROW($N$3:N70))),IF(COUNTIF($N$3:N70,"狗")=0,10^9,LOOKUP(2,1/($N$3:N70="狗"),ROW($N$3:N70))),IF(COUNTIF($N$3:N70,"猪")=0,10^9,LOOKUP(2,1/($N$3:N70="猪"),ROW($N$3:N70))))-ROW($N$3)+1),""))),0,IF(ISNUMBER(J70),J70+1,1)))</f>
        <v>5</v>
      </c>
      <c r="K71" s="5">
        <f t="shared" si="12"/>
        <v>6</v>
      </c>
      <c r="M71" s="6" t="str">
        <f t="shared" si="8"/>
        <v>0</v>
      </c>
      <c r="N71" s="2" t="str">
        <f t="shared" si="9"/>
        <v>鸡</v>
      </c>
      <c r="O71" s="7" t="str">
        <f>IF(M71="","",IF(COUNTIF(M72:$M$1000,M71)&gt;0,"",M71))</f>
        <v/>
      </c>
      <c r="P71" s="8" t="str">
        <f>IF(N71="","",IF(COUNTIF(N72:$N$1000,N71)&gt;0,"",N71))</f>
        <v/>
      </c>
      <c r="Q71" s="21">
        <f t="shared" si="10"/>
        <v>103</v>
      </c>
      <c r="R71" s="22" t="str">
        <f t="shared" si="11"/>
        <v>鼠</v>
      </c>
      <c r="X71" s="2">
        <v>113</v>
      </c>
      <c r="Y71" s="2" t="s">
        <v>20</v>
      </c>
    </row>
    <row r="72" s="1" customFormat="1" spans="1:25">
      <c r="A72" s="2">
        <v>115056707</v>
      </c>
      <c r="B72" s="2">
        <v>12</v>
      </c>
      <c r="C72" s="2">
        <v>24</v>
      </c>
      <c r="D72" s="2">
        <v>28</v>
      </c>
      <c r="E72" s="2">
        <v>25</v>
      </c>
      <c r="F72" s="2">
        <v>41</v>
      </c>
      <c r="G72" s="2">
        <v>3</v>
      </c>
      <c r="H72" s="3">
        <v>48</v>
      </c>
      <c r="I72" s="2" t="str">
        <f t="shared" si="7"/>
        <v>羊</v>
      </c>
      <c r="J72" s="4">
        <f>IF(H72="","",IF(OR(AND(M72&lt;&gt;"",M72=IFERROR(INDEX($M$3:M71,MIN(IF(COUNTIF($M$3:M71,"0")=0,10^9,LOOKUP(2,1/($M$3:M71="0"),ROW($M$3:M71))),IF(COUNTIF($M$3:M71,"1")=0,10^9,LOOKUP(2,1/($M$3:M71="1"),ROW($M$3:M71))),IF(COUNTIF($M$3:M71,"2")=0,10^9,LOOKUP(2,1/($M$3:M71="2"),ROW($M$3:M71))),IF(COUNTIF($M$3:M71,"3")=0,10^9,LOOKUP(2,1/($M$3:M71="3"),ROW($M$3:M71))),IF(COUNTIF($M$3:M71,"4")=0,10^9,LOOKUP(2,1/($M$3:M71="4"),ROW($M$3:M71))),IF(COUNTIF($M$3:M71,"5")=0,10^9,LOOKUP(2,1/($M$3:M71="5"),ROW($M$3:M71))),IF(COUNTIF($M$3:M71,"6")=0,10^9,LOOKUP(2,1/($M$3:M71="6"),ROW($M$3:M71))),IF(COUNTIF($M$3:M71,"7")=0,10^9,LOOKUP(2,1/($M$3:M71="7"),ROW($M$3:M71))),IF(COUNTIF($M$3:M71,"8")=0,10^9,LOOKUP(2,1/($M$3:M71="8"),ROW($M$3:M71))),IF(COUNTIF($M$3:M71,"9")=0,10^9,LOOKUP(2,1/($M$3:M71="9"),ROW($M$3:M71))))-ROW($M$3)+1),"")),AND(N72&lt;&gt;"",N72=IFERROR(INDEX($N$3:N71,MIN(IF(COUNTIF($N$3:N71,"鼠")=0,10^9,LOOKUP(2,1/($N$3:N71="鼠"),ROW($N$3:N71))),IF(COUNTIF($N$3:N71,"牛")=0,10^9,LOOKUP(2,1/($N$3:N71="牛"),ROW($N$3:N71))),IF(COUNTIF($N$3:N71,"虎")=0,10^9,LOOKUP(2,1/($N$3:N71="虎"),ROW($N$3:N71))),IF(COUNTIF($N$3:N71,"兔")=0,10^9,LOOKUP(2,1/($N$3:N71="兔"),ROW($N$3:N71))),IF(COUNTIF($N$3:N71,"龙")=0,10^9,LOOKUP(2,1/($N$3:N71="龙"),ROW($N$3:N71))),IF(COUNTIF($N$3:N71,"蛇")=0,10^9,LOOKUP(2,1/($N$3:N71="蛇"),ROW($N$3:N71))),IF(COUNTIF($N$3:N71,"马")=0,10^9,LOOKUP(2,1/($N$3:N71="马"),ROW($N$3:N71))),IF(COUNTIF($N$3:N71,"羊")=0,10^9,LOOKUP(2,1/($N$3:N71="羊"),ROW($N$3:N71))),IF(COUNTIF($N$3:N71,"猴")=0,10^9,LOOKUP(2,1/($N$3:N71="猴"),ROW($N$3:N71))),IF(COUNTIF($N$3:N71,"鸡")=0,10^9,LOOKUP(2,1/($N$3:N71="鸡"),ROW($N$3:N71))),IF(COUNTIF($N$3:N71,"狗")=0,10^9,LOOKUP(2,1/($N$3:N71="狗"),ROW($N$3:N71))),IF(COUNTIF($N$3:N71,"猪")=0,10^9,LOOKUP(2,1/($N$3:N71="猪"),ROW($N$3:N71))))-ROW($N$3)+1),""))),0,IF(ISNUMBER(J71),J71+1,1)))</f>
        <v>6</v>
      </c>
      <c r="K72" s="5">
        <f t="shared" si="12"/>
        <v>7</v>
      </c>
      <c r="M72" s="6" t="str">
        <f t="shared" si="8"/>
        <v>8</v>
      </c>
      <c r="N72" s="2" t="str">
        <f t="shared" si="9"/>
        <v>羊</v>
      </c>
      <c r="O72" s="7" t="str">
        <f>IF(M72="","",IF(COUNTIF(M73:$M$1000,M72)&gt;0,"",M72))</f>
        <v/>
      </c>
      <c r="P72" s="8" t="str">
        <f>IF(N72="","",IF(COUNTIF(N73:$N$1000,N72)&gt;0,"",N72))</f>
        <v/>
      </c>
      <c r="Q72" s="21">
        <f t="shared" si="10"/>
        <v>82</v>
      </c>
      <c r="R72" s="22" t="str">
        <f t="shared" si="11"/>
        <v>鸡</v>
      </c>
      <c r="X72" s="24">
        <v>125</v>
      </c>
      <c r="Y72" s="2" t="s">
        <v>20</v>
      </c>
    </row>
    <row r="73" s="1" customFormat="1" spans="1:25">
      <c r="A73" s="2">
        <v>115056708</v>
      </c>
      <c r="B73" s="2">
        <v>6</v>
      </c>
      <c r="C73" s="2">
        <v>37</v>
      </c>
      <c r="D73" s="2">
        <v>3</v>
      </c>
      <c r="E73" s="2">
        <v>16</v>
      </c>
      <c r="F73" s="2">
        <v>47</v>
      </c>
      <c r="G73" s="2">
        <v>2</v>
      </c>
      <c r="H73" s="3">
        <v>10</v>
      </c>
      <c r="I73" s="2" t="str">
        <f t="shared" si="7"/>
        <v>鸡</v>
      </c>
      <c r="J73" s="4">
        <f>IF(H73="","",IF(OR(AND(M73&lt;&gt;"",M73=IFERROR(INDEX($M$3:M72,MIN(IF(COUNTIF($M$3:M72,"0")=0,10^9,LOOKUP(2,1/($M$3:M72="0"),ROW($M$3:M72))),IF(COUNTIF($M$3:M72,"1")=0,10^9,LOOKUP(2,1/($M$3:M72="1"),ROW($M$3:M72))),IF(COUNTIF($M$3:M72,"2")=0,10^9,LOOKUP(2,1/($M$3:M72="2"),ROW($M$3:M72))),IF(COUNTIF($M$3:M72,"3")=0,10^9,LOOKUP(2,1/($M$3:M72="3"),ROW($M$3:M72))),IF(COUNTIF($M$3:M72,"4")=0,10^9,LOOKUP(2,1/($M$3:M72="4"),ROW($M$3:M72))),IF(COUNTIF($M$3:M72,"5")=0,10^9,LOOKUP(2,1/($M$3:M72="5"),ROW($M$3:M72))),IF(COUNTIF($M$3:M72,"6")=0,10^9,LOOKUP(2,1/($M$3:M72="6"),ROW($M$3:M72))),IF(COUNTIF($M$3:M72,"7")=0,10^9,LOOKUP(2,1/($M$3:M72="7"),ROW($M$3:M72))),IF(COUNTIF($M$3:M72,"8")=0,10^9,LOOKUP(2,1/($M$3:M72="8"),ROW($M$3:M72))),IF(COUNTIF($M$3:M72,"9")=0,10^9,LOOKUP(2,1/($M$3:M72="9"),ROW($M$3:M72))))-ROW($M$3)+1),"")),AND(N73&lt;&gt;"",N73=IFERROR(INDEX($N$3:N72,MIN(IF(COUNTIF($N$3:N72,"鼠")=0,10^9,LOOKUP(2,1/($N$3:N72="鼠"),ROW($N$3:N72))),IF(COUNTIF($N$3:N72,"牛")=0,10^9,LOOKUP(2,1/($N$3:N72="牛"),ROW($N$3:N72))),IF(COUNTIF($N$3:N72,"虎")=0,10^9,LOOKUP(2,1/($N$3:N72="虎"),ROW($N$3:N72))),IF(COUNTIF($N$3:N72,"兔")=0,10^9,LOOKUP(2,1/($N$3:N72="兔"),ROW($N$3:N72))),IF(COUNTIF($N$3:N72,"龙")=0,10^9,LOOKUP(2,1/($N$3:N72="龙"),ROW($N$3:N72))),IF(COUNTIF($N$3:N72,"蛇")=0,10^9,LOOKUP(2,1/($N$3:N72="蛇"),ROW($N$3:N72))),IF(COUNTIF($N$3:N72,"马")=0,10^9,LOOKUP(2,1/($N$3:N72="马"),ROW($N$3:N72))),IF(COUNTIF($N$3:N72,"羊")=0,10^9,LOOKUP(2,1/($N$3:N72="羊"),ROW($N$3:N72))),IF(COUNTIF($N$3:N72,"猴")=0,10^9,LOOKUP(2,1/($N$3:N72="猴"),ROW($N$3:N72))),IF(COUNTIF($N$3:N72,"鸡")=0,10^9,LOOKUP(2,1/($N$3:N72="鸡"),ROW($N$3:N72))),IF(COUNTIF($N$3:N72,"狗")=0,10^9,LOOKUP(2,1/($N$3:N72="狗"),ROW($N$3:N72))),IF(COUNTIF($N$3:N72,"猪")=0,10^9,LOOKUP(2,1/($N$3:N72="猪"),ROW($N$3:N72))))-ROW($N$3)+1),""))),0,IF(ISNUMBER(J72),J72+1,1)))</f>
        <v>7</v>
      </c>
      <c r="K73" s="5">
        <f t="shared" si="12"/>
        <v>0</v>
      </c>
      <c r="M73" s="6" t="str">
        <f t="shared" si="8"/>
        <v>0</v>
      </c>
      <c r="N73" s="2" t="str">
        <f t="shared" si="9"/>
        <v>鸡</v>
      </c>
      <c r="O73" s="7" t="str">
        <f>IF(M73="","",IF(COUNTIF(M74:$M$1000,M73)&gt;0,"",M73))</f>
        <v/>
      </c>
      <c r="P73" s="8" t="str">
        <f>IF(N73="","",IF(COUNTIF(N74:$N$1000,N73)&gt;0,"",N73))</f>
        <v/>
      </c>
      <c r="Q73" s="21">
        <f t="shared" si="10"/>
        <v>84</v>
      </c>
      <c r="R73" s="22" t="str">
        <f t="shared" si="11"/>
        <v>羊</v>
      </c>
      <c r="X73" s="2">
        <v>52</v>
      </c>
      <c r="Y73" s="2" t="s">
        <v>21</v>
      </c>
    </row>
    <row r="74" s="1" customFormat="1" spans="1:25">
      <c r="A74" s="2">
        <v>115056709</v>
      </c>
      <c r="B74" s="2">
        <v>11</v>
      </c>
      <c r="C74" s="2">
        <v>4</v>
      </c>
      <c r="D74" s="2">
        <v>45</v>
      </c>
      <c r="E74" s="2">
        <v>1</v>
      </c>
      <c r="F74" s="2">
        <v>46</v>
      </c>
      <c r="G74" s="2">
        <v>26</v>
      </c>
      <c r="H74" s="3">
        <v>49</v>
      </c>
      <c r="I74" s="2" t="str">
        <f t="shared" si="7"/>
        <v>马</v>
      </c>
      <c r="J74" s="4">
        <f>IF(H74="","",IF(OR(AND(M74&lt;&gt;"",M74=IFERROR(INDEX($M$3:M73,MIN(IF(COUNTIF($M$3:M73,"0")=0,10^9,LOOKUP(2,1/($M$3:M73="0"),ROW($M$3:M73))),IF(COUNTIF($M$3:M73,"1")=0,10^9,LOOKUP(2,1/($M$3:M73="1"),ROW($M$3:M73))),IF(COUNTIF($M$3:M73,"2")=0,10^9,LOOKUP(2,1/($M$3:M73="2"),ROW($M$3:M73))),IF(COUNTIF($M$3:M73,"3")=0,10^9,LOOKUP(2,1/($M$3:M73="3"),ROW($M$3:M73))),IF(COUNTIF($M$3:M73,"4")=0,10^9,LOOKUP(2,1/($M$3:M73="4"),ROW($M$3:M73))),IF(COUNTIF($M$3:M73,"5")=0,10^9,LOOKUP(2,1/($M$3:M73="5"),ROW($M$3:M73))),IF(COUNTIF($M$3:M73,"6")=0,10^9,LOOKUP(2,1/($M$3:M73="6"),ROW($M$3:M73))),IF(COUNTIF($M$3:M73,"7")=0,10^9,LOOKUP(2,1/($M$3:M73="7"),ROW($M$3:M73))),IF(COUNTIF($M$3:M73,"8")=0,10^9,LOOKUP(2,1/($M$3:M73="8"),ROW($M$3:M73))),IF(COUNTIF($M$3:M73,"9")=0,10^9,LOOKUP(2,1/($M$3:M73="9"),ROW($M$3:M73))))-ROW($M$3)+1),"")),AND(N74&lt;&gt;"",N74=IFERROR(INDEX($N$3:N73,MIN(IF(COUNTIF($N$3:N73,"鼠")=0,10^9,LOOKUP(2,1/($N$3:N73="鼠"),ROW($N$3:N73))),IF(COUNTIF($N$3:N73,"牛")=0,10^9,LOOKUP(2,1/($N$3:N73="牛"),ROW($N$3:N73))),IF(COUNTIF($N$3:N73,"虎")=0,10^9,LOOKUP(2,1/($N$3:N73="虎"),ROW($N$3:N73))),IF(COUNTIF($N$3:N73,"兔")=0,10^9,LOOKUP(2,1/($N$3:N73="兔"),ROW($N$3:N73))),IF(COUNTIF($N$3:N73,"龙")=0,10^9,LOOKUP(2,1/($N$3:N73="龙"),ROW($N$3:N73))),IF(COUNTIF($N$3:N73,"蛇")=0,10^9,LOOKUP(2,1/($N$3:N73="蛇"),ROW($N$3:N73))),IF(COUNTIF($N$3:N73,"马")=0,10^9,LOOKUP(2,1/($N$3:N73="马"),ROW($N$3:N73))),IF(COUNTIF($N$3:N73,"羊")=0,10^9,LOOKUP(2,1/($N$3:N73="羊"),ROW($N$3:N73))),IF(COUNTIF($N$3:N73,"猴")=0,10^9,LOOKUP(2,1/($N$3:N73="猴"),ROW($N$3:N73))),IF(COUNTIF($N$3:N73,"鸡")=0,10^9,LOOKUP(2,1/($N$3:N73="鸡"),ROW($N$3:N73))),IF(COUNTIF($N$3:N73,"狗")=0,10^9,LOOKUP(2,1/($N$3:N73="狗"),ROW($N$3:N73))),IF(COUNTIF($N$3:N73,"猪")=0,10^9,LOOKUP(2,1/($N$3:N73="猪"),ROW($N$3:N73))))-ROW($N$3)+1),""))),0,IF(ISNUMBER(J73),J73+1,1)))</f>
        <v>8</v>
      </c>
      <c r="K74" s="5">
        <f t="shared" si="12"/>
        <v>1</v>
      </c>
      <c r="M74" s="6" t="str">
        <f t="shared" si="8"/>
        <v>9</v>
      </c>
      <c r="N74" s="2" t="str">
        <f t="shared" si="9"/>
        <v>马</v>
      </c>
      <c r="O74" s="7" t="str">
        <f>IF(M74="","",IF(COUNTIF(M75:$M$1000,M74)&gt;0,"",M74))</f>
        <v/>
      </c>
      <c r="P74" s="8" t="str">
        <f>IF(N74="","",IF(COUNTIF(N75:$N$1000,N74)&gt;0,"",N74))</f>
        <v/>
      </c>
      <c r="Q74" s="21">
        <f t="shared" si="10"/>
        <v>102</v>
      </c>
      <c r="R74" s="22" t="str">
        <f t="shared" si="11"/>
        <v>牛</v>
      </c>
      <c r="X74" s="2">
        <v>64</v>
      </c>
      <c r="Y74" s="2" t="s">
        <v>21</v>
      </c>
    </row>
    <row r="75" s="1" customFormat="1" spans="1:25">
      <c r="A75" s="2">
        <v>115056710</v>
      </c>
      <c r="B75" s="2">
        <v>11</v>
      </c>
      <c r="C75" s="2">
        <v>41</v>
      </c>
      <c r="D75" s="2">
        <v>34</v>
      </c>
      <c r="E75" s="2">
        <v>7</v>
      </c>
      <c r="F75" s="2">
        <v>3</v>
      </c>
      <c r="G75" s="2">
        <v>5</v>
      </c>
      <c r="H75" s="3">
        <v>31</v>
      </c>
      <c r="I75" s="2" t="str">
        <f t="shared" si="7"/>
        <v>鼠</v>
      </c>
      <c r="J75" s="4">
        <f>IF(H75="","",IF(OR(AND(M75&lt;&gt;"",M75=IFERROR(INDEX($M$3:M74,MIN(IF(COUNTIF($M$3:M74,"0")=0,10^9,LOOKUP(2,1/($M$3:M74="0"),ROW($M$3:M74))),IF(COUNTIF($M$3:M74,"1")=0,10^9,LOOKUP(2,1/($M$3:M74="1"),ROW($M$3:M74))),IF(COUNTIF($M$3:M74,"2")=0,10^9,LOOKUP(2,1/($M$3:M74="2"),ROW($M$3:M74))),IF(COUNTIF($M$3:M74,"3")=0,10^9,LOOKUP(2,1/($M$3:M74="3"),ROW($M$3:M74))),IF(COUNTIF($M$3:M74,"4")=0,10^9,LOOKUP(2,1/($M$3:M74="4"),ROW($M$3:M74))),IF(COUNTIF($M$3:M74,"5")=0,10^9,LOOKUP(2,1/($M$3:M74="5"),ROW($M$3:M74))),IF(COUNTIF($M$3:M74,"6")=0,10^9,LOOKUP(2,1/($M$3:M74="6"),ROW($M$3:M74))),IF(COUNTIF($M$3:M74,"7")=0,10^9,LOOKUP(2,1/($M$3:M74="7"),ROW($M$3:M74))),IF(COUNTIF($M$3:M74,"8")=0,10^9,LOOKUP(2,1/($M$3:M74="8"),ROW($M$3:M74))),IF(COUNTIF($M$3:M74,"9")=0,10^9,LOOKUP(2,1/($M$3:M74="9"),ROW($M$3:M74))))-ROW($M$3)+1),"")),AND(N75&lt;&gt;"",N75=IFERROR(INDEX($N$3:N74,MIN(IF(COUNTIF($N$3:N74,"鼠")=0,10^9,LOOKUP(2,1/($N$3:N74="鼠"),ROW($N$3:N74))),IF(COUNTIF($N$3:N74,"牛")=0,10^9,LOOKUP(2,1/($N$3:N74="牛"),ROW($N$3:N74))),IF(COUNTIF($N$3:N74,"虎")=0,10^9,LOOKUP(2,1/($N$3:N74="虎"),ROW($N$3:N74))),IF(COUNTIF($N$3:N74,"兔")=0,10^9,LOOKUP(2,1/($N$3:N74="兔"),ROW($N$3:N74))),IF(COUNTIF($N$3:N74,"龙")=0,10^9,LOOKUP(2,1/($N$3:N74="龙"),ROW($N$3:N74))),IF(COUNTIF($N$3:N74,"蛇")=0,10^9,LOOKUP(2,1/($N$3:N74="蛇"),ROW($N$3:N74))),IF(COUNTIF($N$3:N74,"马")=0,10^9,LOOKUP(2,1/($N$3:N74="马"),ROW($N$3:N74))),IF(COUNTIF($N$3:N74,"羊")=0,10^9,LOOKUP(2,1/($N$3:N74="羊"),ROW($N$3:N74))),IF(COUNTIF($N$3:N74,"猴")=0,10^9,LOOKUP(2,1/($N$3:N74="猴"),ROW($N$3:N74))),IF(COUNTIF($N$3:N74,"鸡")=0,10^9,LOOKUP(2,1/($N$3:N74="鸡"),ROW($N$3:N74))),IF(COUNTIF($N$3:N74,"狗")=0,10^9,LOOKUP(2,1/($N$3:N74="狗"),ROW($N$3:N74))),IF(COUNTIF($N$3:N74,"猪")=0,10^9,LOOKUP(2,1/($N$3:N74="猪"),ROW($N$3:N74))))-ROW($N$3)+1),""))),0,IF(ISNUMBER(J74),J74+1,1)))</f>
        <v>9</v>
      </c>
      <c r="K75" s="5">
        <f t="shared" si="12"/>
        <v>2</v>
      </c>
      <c r="M75" s="6" t="str">
        <f t="shared" si="8"/>
        <v>1</v>
      </c>
      <c r="N75" s="2" t="str">
        <f t="shared" si="9"/>
        <v>鼠</v>
      </c>
      <c r="O75" s="7" t="str">
        <f>IF(M75="","",IF(COUNTIF(M76:$M$1000,M75)&gt;0,"",M75))</f>
        <v/>
      </c>
      <c r="P75" s="8" t="str">
        <f>IF(N75="","",IF(COUNTIF(N76:$N$1000,N75)&gt;0,"",N75))</f>
        <v/>
      </c>
      <c r="Q75" s="21">
        <f t="shared" si="10"/>
        <v>74</v>
      </c>
      <c r="R75" s="22" t="str">
        <f t="shared" si="11"/>
        <v>蛇</v>
      </c>
      <c r="X75" s="2">
        <v>76</v>
      </c>
      <c r="Y75" s="2" t="s">
        <v>21</v>
      </c>
    </row>
    <row r="76" s="1" customFormat="1" spans="1:25">
      <c r="A76" s="2">
        <v>115056711</v>
      </c>
      <c r="B76" s="2">
        <v>11</v>
      </c>
      <c r="C76" s="2">
        <v>44</v>
      </c>
      <c r="D76" s="2">
        <v>16</v>
      </c>
      <c r="E76" s="2">
        <v>47</v>
      </c>
      <c r="F76" s="2">
        <v>43</v>
      </c>
      <c r="G76" s="2">
        <v>24</v>
      </c>
      <c r="H76" s="3">
        <v>33</v>
      </c>
      <c r="I76" s="2" t="str">
        <f t="shared" si="7"/>
        <v>狗</v>
      </c>
      <c r="J76" s="4">
        <f>IF(H76="","",IF(OR(AND(M76&lt;&gt;"",M76=IFERROR(INDEX($M$3:M75,MIN(IF(COUNTIF($M$3:M75,"0")=0,10^9,LOOKUP(2,1/($M$3:M75="0"),ROW($M$3:M75))),IF(COUNTIF($M$3:M75,"1")=0,10^9,LOOKUP(2,1/($M$3:M75="1"),ROW($M$3:M75))),IF(COUNTIF($M$3:M75,"2")=0,10^9,LOOKUP(2,1/($M$3:M75="2"),ROW($M$3:M75))),IF(COUNTIF($M$3:M75,"3")=0,10^9,LOOKUP(2,1/($M$3:M75="3"),ROW($M$3:M75))),IF(COUNTIF($M$3:M75,"4")=0,10^9,LOOKUP(2,1/($M$3:M75="4"),ROW($M$3:M75))),IF(COUNTIF($M$3:M75,"5")=0,10^9,LOOKUP(2,1/($M$3:M75="5"),ROW($M$3:M75))),IF(COUNTIF($M$3:M75,"6")=0,10^9,LOOKUP(2,1/($M$3:M75="6"),ROW($M$3:M75))),IF(COUNTIF($M$3:M75,"7")=0,10^9,LOOKUP(2,1/($M$3:M75="7"),ROW($M$3:M75))),IF(COUNTIF($M$3:M75,"8")=0,10^9,LOOKUP(2,1/($M$3:M75="8"),ROW($M$3:M75))),IF(COUNTIF($M$3:M75,"9")=0,10^9,LOOKUP(2,1/($M$3:M75="9"),ROW($M$3:M75))))-ROW($M$3)+1),"")),AND(N76&lt;&gt;"",N76=IFERROR(INDEX($N$3:N75,MIN(IF(COUNTIF($N$3:N75,"鼠")=0,10^9,LOOKUP(2,1/($N$3:N75="鼠"),ROW($N$3:N75))),IF(COUNTIF($N$3:N75,"牛")=0,10^9,LOOKUP(2,1/($N$3:N75="牛"),ROW($N$3:N75))),IF(COUNTIF($N$3:N75,"虎")=0,10^9,LOOKUP(2,1/($N$3:N75="虎"),ROW($N$3:N75))),IF(COUNTIF($N$3:N75,"兔")=0,10^9,LOOKUP(2,1/($N$3:N75="兔"),ROW($N$3:N75))),IF(COUNTIF($N$3:N75,"龙")=0,10^9,LOOKUP(2,1/($N$3:N75="龙"),ROW($N$3:N75))),IF(COUNTIF($N$3:N75,"蛇")=0,10^9,LOOKUP(2,1/($N$3:N75="蛇"),ROW($N$3:N75))),IF(COUNTIF($N$3:N75,"马")=0,10^9,LOOKUP(2,1/($N$3:N75="马"),ROW($N$3:N75))),IF(COUNTIF($N$3:N75,"羊")=0,10^9,LOOKUP(2,1/($N$3:N75="羊"),ROW($N$3:N75))),IF(COUNTIF($N$3:N75,"猴")=0,10^9,LOOKUP(2,1/($N$3:N75="猴"),ROW($N$3:N75))),IF(COUNTIF($N$3:N75,"鸡")=0,10^9,LOOKUP(2,1/($N$3:N75="鸡"),ROW($N$3:N75))),IF(COUNTIF($N$3:N75,"狗")=0,10^9,LOOKUP(2,1/($N$3:N75="狗"),ROW($N$3:N75))),IF(COUNTIF($N$3:N75,"猪")=0,10^9,LOOKUP(2,1/($N$3:N75="猪"),ROW($N$3:N75))))-ROW($N$3)+1),""))),0,IF(ISNUMBER(J75),J75+1,1)))</f>
        <v>10</v>
      </c>
      <c r="K76" s="5">
        <f t="shared" si="12"/>
        <v>3</v>
      </c>
      <c r="M76" s="6" t="str">
        <f t="shared" si="8"/>
        <v>3</v>
      </c>
      <c r="N76" s="2" t="str">
        <f t="shared" si="9"/>
        <v>狗</v>
      </c>
      <c r="O76" s="7" t="str">
        <f>IF(M76="","",IF(COUNTIF(M77:$M$1000,M76)&gt;0,"",M76))</f>
        <v/>
      </c>
      <c r="P76" s="8" t="str">
        <f>IF(N76="","",IF(COUNTIF(N77:$N$1000,N76)&gt;0,"",N76))</f>
        <v/>
      </c>
      <c r="Q76" s="21">
        <f t="shared" si="10"/>
        <v>122</v>
      </c>
      <c r="R76" s="22" t="str">
        <f t="shared" si="11"/>
        <v>蛇</v>
      </c>
      <c r="X76" s="2">
        <v>88</v>
      </c>
      <c r="Y76" s="2" t="s">
        <v>21</v>
      </c>
    </row>
    <row r="77" s="1" customFormat="1" spans="1:25">
      <c r="A77" s="2">
        <v>115056712</v>
      </c>
      <c r="B77" s="2">
        <v>27</v>
      </c>
      <c r="C77" s="2">
        <v>26</v>
      </c>
      <c r="D77" s="2">
        <v>24</v>
      </c>
      <c r="E77" s="2">
        <v>14</v>
      </c>
      <c r="F77" s="2">
        <v>8</v>
      </c>
      <c r="G77" s="2">
        <v>47</v>
      </c>
      <c r="H77" s="3">
        <v>39</v>
      </c>
      <c r="I77" s="2" t="str">
        <f t="shared" si="7"/>
        <v>龙</v>
      </c>
      <c r="J77" s="4">
        <f>IF(H77="","",IF(OR(AND(M77&lt;&gt;"",M77=IFERROR(INDEX($M$3:M76,MIN(IF(COUNTIF($M$3:M76,"0")=0,10^9,LOOKUP(2,1/($M$3:M76="0"),ROW($M$3:M76))),IF(COUNTIF($M$3:M76,"1")=0,10^9,LOOKUP(2,1/($M$3:M76="1"),ROW($M$3:M76))),IF(COUNTIF($M$3:M76,"2")=0,10^9,LOOKUP(2,1/($M$3:M76="2"),ROW($M$3:M76))),IF(COUNTIF($M$3:M76,"3")=0,10^9,LOOKUP(2,1/($M$3:M76="3"),ROW($M$3:M76))),IF(COUNTIF($M$3:M76,"4")=0,10^9,LOOKUP(2,1/($M$3:M76="4"),ROW($M$3:M76))),IF(COUNTIF($M$3:M76,"5")=0,10^9,LOOKUP(2,1/($M$3:M76="5"),ROW($M$3:M76))),IF(COUNTIF($M$3:M76,"6")=0,10^9,LOOKUP(2,1/($M$3:M76="6"),ROW($M$3:M76))),IF(COUNTIF($M$3:M76,"7")=0,10^9,LOOKUP(2,1/($M$3:M76="7"),ROW($M$3:M76))),IF(COUNTIF($M$3:M76,"8")=0,10^9,LOOKUP(2,1/($M$3:M76="8"),ROW($M$3:M76))),IF(COUNTIF($M$3:M76,"9")=0,10^9,LOOKUP(2,1/($M$3:M76="9"),ROW($M$3:M76))))-ROW($M$3)+1),"")),AND(N77&lt;&gt;"",N77=IFERROR(INDEX($N$3:N76,MIN(IF(COUNTIF($N$3:N76,"鼠")=0,10^9,LOOKUP(2,1/($N$3:N76="鼠"),ROW($N$3:N76))),IF(COUNTIF($N$3:N76,"牛")=0,10^9,LOOKUP(2,1/($N$3:N76="牛"),ROW($N$3:N76))),IF(COUNTIF($N$3:N76,"虎")=0,10^9,LOOKUP(2,1/($N$3:N76="虎"),ROW($N$3:N76))),IF(COUNTIF($N$3:N76,"兔")=0,10^9,LOOKUP(2,1/($N$3:N76="兔"),ROW($N$3:N76))),IF(COUNTIF($N$3:N76,"龙")=0,10^9,LOOKUP(2,1/($N$3:N76="龙"),ROW($N$3:N76))),IF(COUNTIF($N$3:N76,"蛇")=0,10^9,LOOKUP(2,1/($N$3:N76="蛇"),ROW($N$3:N76))),IF(COUNTIF($N$3:N76,"马")=0,10^9,LOOKUP(2,1/($N$3:N76="马"),ROW($N$3:N76))),IF(COUNTIF($N$3:N76,"羊")=0,10^9,LOOKUP(2,1/($N$3:N76="羊"),ROW($N$3:N76))),IF(COUNTIF($N$3:N76,"猴")=0,10^9,LOOKUP(2,1/($N$3:N76="猴"),ROW($N$3:N76))),IF(COUNTIF($N$3:N76,"鸡")=0,10^9,LOOKUP(2,1/($N$3:N76="鸡"),ROW($N$3:N76))),IF(COUNTIF($N$3:N76,"狗")=0,10^9,LOOKUP(2,1/($N$3:N76="狗"),ROW($N$3:N76))),IF(COUNTIF($N$3:N76,"猪")=0,10^9,LOOKUP(2,1/($N$3:N76="猪"),ROW($N$3:N76))))-ROW($N$3)+1),""))),0,IF(ISNUMBER(J76),J76+1,1)))</f>
        <v>11</v>
      </c>
      <c r="K77" s="5">
        <f t="shared" si="12"/>
        <v>4</v>
      </c>
      <c r="M77" s="6" t="str">
        <f t="shared" si="8"/>
        <v>9</v>
      </c>
      <c r="N77" s="2" t="str">
        <f t="shared" si="9"/>
        <v>龙</v>
      </c>
      <c r="O77" s="7" t="str">
        <f>IF(M77="","",IF(COUNTIF(M78:$M$1000,M77)&gt;0,"",M77))</f>
        <v/>
      </c>
      <c r="P77" s="8" t="str">
        <f>IF(N77="","",IF(COUNTIF(N78:$N$1000,N77)&gt;0,"",N77))</f>
        <v/>
      </c>
      <c r="Q77" s="21">
        <f t="shared" si="10"/>
        <v>104</v>
      </c>
      <c r="R77" s="22" t="str">
        <f t="shared" si="11"/>
        <v>猪</v>
      </c>
      <c r="X77" s="2">
        <v>100</v>
      </c>
      <c r="Y77" s="2" t="s">
        <v>21</v>
      </c>
    </row>
    <row r="78" s="1" customFormat="1" spans="1:25">
      <c r="A78" s="2">
        <v>115056713</v>
      </c>
      <c r="B78" s="2">
        <v>16</v>
      </c>
      <c r="C78" s="2">
        <v>18</v>
      </c>
      <c r="D78" s="2">
        <v>1</v>
      </c>
      <c r="E78" s="2">
        <v>8</v>
      </c>
      <c r="F78" s="2">
        <v>39</v>
      </c>
      <c r="G78" s="2">
        <v>14</v>
      </c>
      <c r="H78" s="3">
        <v>35</v>
      </c>
      <c r="I78" s="2" t="str">
        <f t="shared" si="7"/>
        <v>猴</v>
      </c>
      <c r="J78" s="4">
        <f>IF(H78="","",IF(OR(AND(M78&lt;&gt;"",M78=IFERROR(INDEX($M$3:M77,MIN(IF(COUNTIF($M$3:M77,"0")=0,10^9,LOOKUP(2,1/($M$3:M77="0"),ROW($M$3:M77))),IF(COUNTIF($M$3:M77,"1")=0,10^9,LOOKUP(2,1/($M$3:M77="1"),ROW($M$3:M77))),IF(COUNTIF($M$3:M77,"2")=0,10^9,LOOKUP(2,1/($M$3:M77="2"),ROW($M$3:M77))),IF(COUNTIF($M$3:M77,"3")=0,10^9,LOOKUP(2,1/($M$3:M77="3"),ROW($M$3:M77))),IF(COUNTIF($M$3:M77,"4")=0,10^9,LOOKUP(2,1/($M$3:M77="4"),ROW($M$3:M77))),IF(COUNTIF($M$3:M77,"5")=0,10^9,LOOKUP(2,1/($M$3:M77="5"),ROW($M$3:M77))),IF(COUNTIF($M$3:M77,"6")=0,10^9,LOOKUP(2,1/($M$3:M77="6"),ROW($M$3:M77))),IF(COUNTIF($M$3:M77,"7")=0,10^9,LOOKUP(2,1/($M$3:M77="7"),ROW($M$3:M77))),IF(COUNTIF($M$3:M77,"8")=0,10^9,LOOKUP(2,1/($M$3:M77="8"),ROW($M$3:M77))),IF(COUNTIF($M$3:M77,"9")=0,10^9,LOOKUP(2,1/($M$3:M77="9"),ROW($M$3:M77))))-ROW($M$3)+1),"")),AND(N78&lt;&gt;"",N78=IFERROR(INDEX($N$3:N77,MIN(IF(COUNTIF($N$3:N77,"鼠")=0,10^9,LOOKUP(2,1/($N$3:N77="鼠"),ROW($N$3:N77))),IF(COUNTIF($N$3:N77,"牛")=0,10^9,LOOKUP(2,1/($N$3:N77="牛"),ROW($N$3:N77))),IF(COUNTIF($N$3:N77,"虎")=0,10^9,LOOKUP(2,1/($N$3:N77="虎"),ROW($N$3:N77))),IF(COUNTIF($N$3:N77,"兔")=0,10^9,LOOKUP(2,1/($N$3:N77="兔"),ROW($N$3:N77))),IF(COUNTIF($N$3:N77,"龙")=0,10^9,LOOKUP(2,1/($N$3:N77="龙"),ROW($N$3:N77))),IF(COUNTIF($N$3:N77,"蛇")=0,10^9,LOOKUP(2,1/($N$3:N77="蛇"),ROW($N$3:N77))),IF(COUNTIF($N$3:N77,"马")=0,10^9,LOOKUP(2,1/($N$3:N77="马"),ROW($N$3:N77))),IF(COUNTIF($N$3:N77,"羊")=0,10^9,LOOKUP(2,1/($N$3:N77="羊"),ROW($N$3:N77))),IF(COUNTIF($N$3:N77,"猴")=0,10^9,LOOKUP(2,1/($N$3:N77="猴"),ROW($N$3:N77))),IF(COUNTIF($N$3:N77,"鸡")=0,10^9,LOOKUP(2,1/($N$3:N77="鸡"),ROW($N$3:N77))),IF(COUNTIF($N$3:N77,"狗")=0,10^9,LOOKUP(2,1/($N$3:N77="狗"),ROW($N$3:N77))),IF(COUNTIF($N$3:N77,"猪")=0,10^9,LOOKUP(2,1/($N$3:N77="猪"),ROW($N$3:N77))))-ROW($N$3)+1),""))),0,IF(ISNUMBER(J77),J77+1,1)))</f>
        <v>12</v>
      </c>
      <c r="K78" s="5">
        <f t="shared" si="12"/>
        <v>5</v>
      </c>
      <c r="M78" s="6" t="str">
        <f t="shared" si="8"/>
        <v>5</v>
      </c>
      <c r="N78" s="2" t="str">
        <f t="shared" si="9"/>
        <v>猴</v>
      </c>
      <c r="O78" s="7" t="str">
        <f>IF(M78="","",IF(COUNTIF(M79:$M$1000,M78)&gt;0,"",M78))</f>
        <v/>
      </c>
      <c r="P78" s="8" t="str">
        <f>IF(N78="","",IF(COUNTIF(N79:$N$1000,N78)&gt;0,"",N78))</f>
        <v/>
      </c>
      <c r="Q78" s="21">
        <f t="shared" si="10"/>
        <v>86</v>
      </c>
      <c r="R78" s="22" t="str">
        <f t="shared" si="11"/>
        <v>蛇</v>
      </c>
      <c r="X78" s="2">
        <v>112</v>
      </c>
      <c r="Y78" s="2" t="s">
        <v>21</v>
      </c>
    </row>
    <row r="79" s="1" customFormat="1" spans="1:25">
      <c r="A79" s="2">
        <v>115056714</v>
      </c>
      <c r="B79" s="2">
        <v>38</v>
      </c>
      <c r="C79" s="2">
        <v>10</v>
      </c>
      <c r="D79" s="2">
        <v>45</v>
      </c>
      <c r="E79" s="2">
        <v>40</v>
      </c>
      <c r="F79" s="2">
        <v>30</v>
      </c>
      <c r="G79" s="2">
        <v>21</v>
      </c>
      <c r="H79" s="3">
        <v>34</v>
      </c>
      <c r="I79" s="2" t="str">
        <f t="shared" si="7"/>
        <v>鸡</v>
      </c>
      <c r="J79" s="4">
        <f>IF(H79="","",IF(OR(AND(M79&lt;&gt;"",M79=IFERROR(INDEX($M$3:M78,MIN(IF(COUNTIF($M$3:M78,"0")=0,10^9,LOOKUP(2,1/($M$3:M78="0"),ROW($M$3:M78))),IF(COUNTIF($M$3:M78,"1")=0,10^9,LOOKUP(2,1/($M$3:M78="1"),ROW($M$3:M78))),IF(COUNTIF($M$3:M78,"2")=0,10^9,LOOKUP(2,1/($M$3:M78="2"),ROW($M$3:M78))),IF(COUNTIF($M$3:M78,"3")=0,10^9,LOOKUP(2,1/($M$3:M78="3"),ROW($M$3:M78))),IF(COUNTIF($M$3:M78,"4")=0,10^9,LOOKUP(2,1/($M$3:M78="4"),ROW($M$3:M78))),IF(COUNTIF($M$3:M78,"5")=0,10^9,LOOKUP(2,1/($M$3:M78="5"),ROW($M$3:M78))),IF(COUNTIF($M$3:M78,"6")=0,10^9,LOOKUP(2,1/($M$3:M78="6"),ROW($M$3:M78))),IF(COUNTIF($M$3:M78,"7")=0,10^9,LOOKUP(2,1/($M$3:M78="7"),ROW($M$3:M78))),IF(COUNTIF($M$3:M78,"8")=0,10^9,LOOKUP(2,1/($M$3:M78="8"),ROW($M$3:M78))),IF(COUNTIF($M$3:M78,"9")=0,10^9,LOOKUP(2,1/($M$3:M78="9"),ROW($M$3:M78))))-ROW($M$3)+1),"")),AND(N79&lt;&gt;"",N79=IFERROR(INDEX($N$3:N78,MIN(IF(COUNTIF($N$3:N78,"鼠")=0,10^9,LOOKUP(2,1/($N$3:N78="鼠"),ROW($N$3:N78))),IF(COUNTIF($N$3:N78,"牛")=0,10^9,LOOKUP(2,1/($N$3:N78="牛"),ROW($N$3:N78))),IF(COUNTIF($N$3:N78,"虎")=0,10^9,LOOKUP(2,1/($N$3:N78="虎"),ROW($N$3:N78))),IF(COUNTIF($N$3:N78,"兔")=0,10^9,LOOKUP(2,1/($N$3:N78="兔"),ROW($N$3:N78))),IF(COUNTIF($N$3:N78,"龙")=0,10^9,LOOKUP(2,1/($N$3:N78="龙"),ROW($N$3:N78))),IF(COUNTIF($N$3:N78,"蛇")=0,10^9,LOOKUP(2,1/($N$3:N78="蛇"),ROW($N$3:N78))),IF(COUNTIF($N$3:N78,"马")=0,10^9,LOOKUP(2,1/($N$3:N78="马"),ROW($N$3:N78))),IF(COUNTIF($N$3:N78,"羊")=0,10^9,LOOKUP(2,1/($N$3:N78="羊"),ROW($N$3:N78))),IF(COUNTIF($N$3:N78,"猴")=0,10^9,LOOKUP(2,1/($N$3:N78="猴"),ROW($N$3:N78))),IF(COUNTIF($N$3:N78,"鸡")=0,10^9,LOOKUP(2,1/($N$3:N78="鸡"),ROW($N$3:N78))),IF(COUNTIF($N$3:N78,"狗")=0,10^9,LOOKUP(2,1/($N$3:N78="狗"),ROW($N$3:N78))),IF(COUNTIF($N$3:N78,"猪")=0,10^9,LOOKUP(2,1/($N$3:N78="猪"),ROW($N$3:N78))))-ROW($N$3)+1),""))),0,IF(ISNUMBER(J78),J78+1,1)))</f>
        <v>13</v>
      </c>
      <c r="K79" s="5">
        <f t="shared" si="12"/>
        <v>6</v>
      </c>
      <c r="M79" s="6" t="str">
        <f t="shared" si="8"/>
        <v>4</v>
      </c>
      <c r="N79" s="2" t="str">
        <f t="shared" si="9"/>
        <v>鸡</v>
      </c>
      <c r="O79" s="7" t="str">
        <f>IF(M79="","",IF(COUNTIF(M80:$M$1000,M79)&gt;0,"",M79))</f>
        <v/>
      </c>
      <c r="P79" s="8" t="str">
        <f>IF(N79="","",IF(COUNTIF(N80:$N$1000,N79)&gt;0,"",N79))</f>
        <v/>
      </c>
      <c r="Q79" s="21">
        <f t="shared" si="10"/>
        <v>108</v>
      </c>
      <c r="R79" s="22" t="str">
        <f t="shared" si="11"/>
        <v>羊</v>
      </c>
      <c r="X79" s="24">
        <v>124</v>
      </c>
      <c r="Y79" s="2" t="s">
        <v>21</v>
      </c>
    </row>
    <row r="80" s="1" customFormat="1" spans="1:25">
      <c r="A80" s="2">
        <v>115056715</v>
      </c>
      <c r="B80" s="2">
        <v>35</v>
      </c>
      <c r="C80" s="2">
        <v>38</v>
      </c>
      <c r="D80" s="2">
        <v>33</v>
      </c>
      <c r="E80" s="2">
        <v>31</v>
      </c>
      <c r="F80" s="2">
        <v>28</v>
      </c>
      <c r="G80" s="2">
        <v>49</v>
      </c>
      <c r="H80" s="3">
        <v>23</v>
      </c>
      <c r="I80" s="2" t="str">
        <f t="shared" si="7"/>
        <v>猴</v>
      </c>
      <c r="J80" s="4">
        <f>IF(H80="","",IF(OR(AND(M80&lt;&gt;"",M80=IFERROR(INDEX($M$3:M79,MIN(IF(COUNTIF($M$3:M79,"0")=0,10^9,LOOKUP(2,1/($M$3:M79="0"),ROW($M$3:M79))),IF(COUNTIF($M$3:M79,"1")=0,10^9,LOOKUP(2,1/($M$3:M79="1"),ROW($M$3:M79))),IF(COUNTIF($M$3:M79,"2")=0,10^9,LOOKUP(2,1/($M$3:M79="2"),ROW($M$3:M79))),IF(COUNTIF($M$3:M79,"3")=0,10^9,LOOKUP(2,1/($M$3:M79="3"),ROW($M$3:M79))),IF(COUNTIF($M$3:M79,"4")=0,10^9,LOOKUP(2,1/($M$3:M79="4"),ROW($M$3:M79))),IF(COUNTIF($M$3:M79,"5")=0,10^9,LOOKUP(2,1/($M$3:M79="5"),ROW($M$3:M79))),IF(COUNTIF($M$3:M79,"6")=0,10^9,LOOKUP(2,1/($M$3:M79="6"),ROW($M$3:M79))),IF(COUNTIF($M$3:M79,"7")=0,10^9,LOOKUP(2,1/($M$3:M79="7"),ROW($M$3:M79))),IF(COUNTIF($M$3:M79,"8")=0,10^9,LOOKUP(2,1/($M$3:M79="8"),ROW($M$3:M79))),IF(COUNTIF($M$3:M79,"9")=0,10^9,LOOKUP(2,1/($M$3:M79="9"),ROW($M$3:M79))))-ROW($M$3)+1),"")),AND(N80&lt;&gt;"",N80=IFERROR(INDEX($N$3:N79,MIN(IF(COUNTIF($N$3:N79,"鼠")=0,10^9,LOOKUP(2,1/($N$3:N79="鼠"),ROW($N$3:N79))),IF(COUNTIF($N$3:N79,"牛")=0,10^9,LOOKUP(2,1/($N$3:N79="牛"),ROW($N$3:N79))),IF(COUNTIF($N$3:N79,"虎")=0,10^9,LOOKUP(2,1/($N$3:N79="虎"),ROW($N$3:N79))),IF(COUNTIF($N$3:N79,"兔")=0,10^9,LOOKUP(2,1/($N$3:N79="兔"),ROW($N$3:N79))),IF(COUNTIF($N$3:N79,"龙")=0,10^9,LOOKUP(2,1/($N$3:N79="龙"),ROW($N$3:N79))),IF(COUNTIF($N$3:N79,"蛇")=0,10^9,LOOKUP(2,1/($N$3:N79="蛇"),ROW($N$3:N79))),IF(COUNTIF($N$3:N79,"马")=0,10^9,LOOKUP(2,1/($N$3:N79="马"),ROW($N$3:N79))),IF(COUNTIF($N$3:N79,"羊")=0,10^9,LOOKUP(2,1/($N$3:N79="羊"),ROW($N$3:N79))),IF(COUNTIF($N$3:N79,"猴")=0,10^9,LOOKUP(2,1/($N$3:N79="猴"),ROW($N$3:N79))),IF(COUNTIF($N$3:N79,"鸡")=0,10^9,LOOKUP(2,1/($N$3:N79="鸡"),ROW($N$3:N79))),IF(COUNTIF($N$3:N79,"狗")=0,10^9,LOOKUP(2,1/($N$3:N79="狗"),ROW($N$3:N79))),IF(COUNTIF($N$3:N79,"猪")=0,10^9,LOOKUP(2,1/($N$3:N79="猪"),ROW($N$3:N79))))-ROW($N$3)+1),""))),0,IF(ISNUMBER(J79),J79+1,1)))</f>
        <v>14</v>
      </c>
      <c r="K80" s="5">
        <f t="shared" si="12"/>
        <v>7</v>
      </c>
      <c r="M80" s="6" t="str">
        <f t="shared" si="8"/>
        <v>3</v>
      </c>
      <c r="N80" s="2" t="str">
        <f t="shared" si="9"/>
        <v>猴</v>
      </c>
      <c r="O80" s="7" t="str">
        <f>IF(M80="","",IF(COUNTIF(M81:$M$1000,M80)&gt;0,"",M80))</f>
        <v/>
      </c>
      <c r="P80" s="8" t="str">
        <f>IF(N80="","",IF(COUNTIF(N81:$N$1000,N80)&gt;0,"",N80))</f>
        <v/>
      </c>
      <c r="Q80" s="21">
        <f t="shared" si="10"/>
        <v>110</v>
      </c>
      <c r="R80" s="22" t="str">
        <f t="shared" si="11"/>
        <v>蛇</v>
      </c>
      <c r="X80" s="2">
        <v>51</v>
      </c>
      <c r="Y80" s="2" t="s">
        <v>22</v>
      </c>
    </row>
    <row r="81" s="1" customFormat="1" spans="1:25">
      <c r="A81" s="2">
        <v>115056716</v>
      </c>
      <c r="B81" s="2">
        <v>36</v>
      </c>
      <c r="C81" s="2">
        <v>18</v>
      </c>
      <c r="D81" s="2">
        <v>2</v>
      </c>
      <c r="E81" s="2">
        <v>9</v>
      </c>
      <c r="F81" s="2">
        <v>47</v>
      </c>
      <c r="G81" s="2">
        <v>23</v>
      </c>
      <c r="H81" s="3">
        <v>15</v>
      </c>
      <c r="I81" s="2" t="str">
        <f t="shared" si="7"/>
        <v>龙</v>
      </c>
      <c r="J81" s="4">
        <f>IF(H81="","",IF(OR(AND(M81&lt;&gt;"",M81=IFERROR(INDEX($M$3:M80,MIN(IF(COUNTIF($M$3:M80,"0")=0,10^9,LOOKUP(2,1/($M$3:M80="0"),ROW($M$3:M80))),IF(COUNTIF($M$3:M80,"1")=0,10^9,LOOKUP(2,1/($M$3:M80="1"),ROW($M$3:M80))),IF(COUNTIF($M$3:M80,"2")=0,10^9,LOOKUP(2,1/($M$3:M80="2"),ROW($M$3:M80))),IF(COUNTIF($M$3:M80,"3")=0,10^9,LOOKUP(2,1/($M$3:M80="3"),ROW($M$3:M80))),IF(COUNTIF($M$3:M80,"4")=0,10^9,LOOKUP(2,1/($M$3:M80="4"),ROW($M$3:M80))),IF(COUNTIF($M$3:M80,"5")=0,10^9,LOOKUP(2,1/($M$3:M80="5"),ROW($M$3:M80))),IF(COUNTIF($M$3:M80,"6")=0,10^9,LOOKUP(2,1/($M$3:M80="6"),ROW($M$3:M80))),IF(COUNTIF($M$3:M80,"7")=0,10^9,LOOKUP(2,1/($M$3:M80="7"),ROW($M$3:M80))),IF(COUNTIF($M$3:M80,"8")=0,10^9,LOOKUP(2,1/($M$3:M80="8"),ROW($M$3:M80))),IF(COUNTIF($M$3:M80,"9")=0,10^9,LOOKUP(2,1/($M$3:M80="9"),ROW($M$3:M80))))-ROW($M$3)+1),"")),AND(N81&lt;&gt;"",N81=IFERROR(INDEX($N$3:N80,MIN(IF(COUNTIF($N$3:N80,"鼠")=0,10^9,LOOKUP(2,1/($N$3:N80="鼠"),ROW($N$3:N80))),IF(COUNTIF($N$3:N80,"牛")=0,10^9,LOOKUP(2,1/($N$3:N80="牛"),ROW($N$3:N80))),IF(COUNTIF($N$3:N80,"虎")=0,10^9,LOOKUP(2,1/($N$3:N80="虎"),ROW($N$3:N80))),IF(COUNTIF($N$3:N80,"兔")=0,10^9,LOOKUP(2,1/($N$3:N80="兔"),ROW($N$3:N80))),IF(COUNTIF($N$3:N80,"龙")=0,10^9,LOOKUP(2,1/($N$3:N80="龙"),ROW($N$3:N80))),IF(COUNTIF($N$3:N80,"蛇")=0,10^9,LOOKUP(2,1/($N$3:N80="蛇"),ROW($N$3:N80))),IF(COUNTIF($N$3:N80,"马")=0,10^9,LOOKUP(2,1/($N$3:N80="马"),ROW($N$3:N80))),IF(COUNTIF($N$3:N80,"羊")=0,10^9,LOOKUP(2,1/($N$3:N80="羊"),ROW($N$3:N80))),IF(COUNTIF($N$3:N80,"猴")=0,10^9,LOOKUP(2,1/($N$3:N80="猴"),ROW($N$3:N80))),IF(COUNTIF($N$3:N80,"鸡")=0,10^9,LOOKUP(2,1/($N$3:N80="鸡"),ROW($N$3:N80))),IF(COUNTIF($N$3:N80,"狗")=0,10^9,LOOKUP(2,1/($N$3:N80="狗"),ROW($N$3:N80))),IF(COUNTIF($N$3:N80,"猪")=0,10^9,LOOKUP(2,1/($N$3:N80="猪"),ROW($N$3:N80))))-ROW($N$3)+1),""))),0,IF(ISNUMBER(J80),J80+1,1)))</f>
        <v>15</v>
      </c>
      <c r="K81" s="5">
        <f t="shared" si="12"/>
        <v>8</v>
      </c>
      <c r="M81" s="6" t="str">
        <f t="shared" si="8"/>
        <v>5</v>
      </c>
      <c r="N81" s="2" t="str">
        <f t="shared" si="9"/>
        <v>龙</v>
      </c>
      <c r="O81" s="7" t="str">
        <f>IF(M81="","",IF(COUNTIF(M82:$M$1000,M81)&gt;0,"",M81))</f>
        <v/>
      </c>
      <c r="P81" s="8" t="str">
        <f>IF(N81="","",IF(COUNTIF(N82:$N$1000,N81)&gt;0,"",N81))</f>
        <v/>
      </c>
      <c r="Q81" s="21">
        <f t="shared" si="10"/>
        <v>101</v>
      </c>
      <c r="R81" s="22" t="str">
        <f t="shared" si="11"/>
        <v>虎</v>
      </c>
      <c r="X81" s="2">
        <v>63</v>
      </c>
      <c r="Y81" s="2" t="s">
        <v>22</v>
      </c>
    </row>
    <row r="82" s="1" customFormat="1" spans="1:25">
      <c r="A82" s="2">
        <v>115056717</v>
      </c>
      <c r="B82" s="2">
        <v>18</v>
      </c>
      <c r="C82" s="2">
        <v>28</v>
      </c>
      <c r="D82" s="2">
        <v>4</v>
      </c>
      <c r="E82" s="2">
        <v>15</v>
      </c>
      <c r="F82" s="2">
        <v>32</v>
      </c>
      <c r="G82" s="2">
        <v>35</v>
      </c>
      <c r="H82" s="3">
        <v>11</v>
      </c>
      <c r="I82" s="2" t="str">
        <f t="shared" si="7"/>
        <v>猴</v>
      </c>
      <c r="J82" s="4">
        <f>IF(H82="","",IF(OR(AND(M82&lt;&gt;"",M82=IFERROR(INDEX($M$3:M81,MIN(IF(COUNTIF($M$3:M81,"0")=0,10^9,LOOKUP(2,1/($M$3:M81="0"),ROW($M$3:M81))),IF(COUNTIF($M$3:M81,"1")=0,10^9,LOOKUP(2,1/($M$3:M81="1"),ROW($M$3:M81))),IF(COUNTIF($M$3:M81,"2")=0,10^9,LOOKUP(2,1/($M$3:M81="2"),ROW($M$3:M81))),IF(COUNTIF($M$3:M81,"3")=0,10^9,LOOKUP(2,1/($M$3:M81="3"),ROW($M$3:M81))),IF(COUNTIF($M$3:M81,"4")=0,10^9,LOOKUP(2,1/($M$3:M81="4"),ROW($M$3:M81))),IF(COUNTIF($M$3:M81,"5")=0,10^9,LOOKUP(2,1/($M$3:M81="5"),ROW($M$3:M81))),IF(COUNTIF($M$3:M81,"6")=0,10^9,LOOKUP(2,1/($M$3:M81="6"),ROW($M$3:M81))),IF(COUNTIF($M$3:M81,"7")=0,10^9,LOOKUP(2,1/($M$3:M81="7"),ROW($M$3:M81))),IF(COUNTIF($M$3:M81,"8")=0,10^9,LOOKUP(2,1/($M$3:M81="8"),ROW($M$3:M81))),IF(COUNTIF($M$3:M81,"9")=0,10^9,LOOKUP(2,1/($M$3:M81="9"),ROW($M$3:M81))))-ROW($M$3)+1),"")),AND(N82&lt;&gt;"",N82=IFERROR(INDEX($N$3:N81,MIN(IF(COUNTIF($N$3:N81,"鼠")=0,10^9,LOOKUP(2,1/($N$3:N81="鼠"),ROW($N$3:N81))),IF(COUNTIF($N$3:N81,"牛")=0,10^9,LOOKUP(2,1/($N$3:N81="牛"),ROW($N$3:N81))),IF(COUNTIF($N$3:N81,"虎")=0,10^9,LOOKUP(2,1/($N$3:N81="虎"),ROW($N$3:N81))),IF(COUNTIF($N$3:N81,"兔")=0,10^9,LOOKUP(2,1/($N$3:N81="兔"),ROW($N$3:N81))),IF(COUNTIF($N$3:N81,"龙")=0,10^9,LOOKUP(2,1/($N$3:N81="龙"),ROW($N$3:N81))),IF(COUNTIF($N$3:N81,"蛇")=0,10^9,LOOKUP(2,1/($N$3:N81="蛇"),ROW($N$3:N81))),IF(COUNTIF($N$3:N81,"马")=0,10^9,LOOKUP(2,1/($N$3:N81="马"),ROW($N$3:N81))),IF(COUNTIF($N$3:N81,"羊")=0,10^9,LOOKUP(2,1/($N$3:N81="羊"),ROW($N$3:N81))),IF(COUNTIF($N$3:N81,"猴")=0,10^9,LOOKUP(2,1/($N$3:N81="猴"),ROW($N$3:N81))),IF(COUNTIF($N$3:N81,"鸡")=0,10^9,LOOKUP(2,1/($N$3:N81="鸡"),ROW($N$3:N81))),IF(COUNTIF($N$3:N81,"狗")=0,10^9,LOOKUP(2,1/($N$3:N81="狗"),ROW($N$3:N81))),IF(COUNTIF($N$3:N81,"猪")=0,10^9,LOOKUP(2,1/($N$3:N81="猪"),ROW($N$3:N81))))-ROW($N$3)+1),""))),0,IF(ISNUMBER(J81),J81+1,1)))</f>
        <v>16</v>
      </c>
      <c r="K82" s="5">
        <f t="shared" si="12"/>
        <v>9</v>
      </c>
      <c r="M82" s="6" t="str">
        <f t="shared" si="8"/>
        <v>1</v>
      </c>
      <c r="N82" s="2" t="str">
        <f t="shared" si="9"/>
        <v>猴</v>
      </c>
      <c r="O82" s="7" t="str">
        <f>IF(M82="","",IF(COUNTIF(M83:$M$1000,M82)&gt;0,"",M82))</f>
        <v/>
      </c>
      <c r="P82" s="8" t="str">
        <f>IF(N82="","",IF(COUNTIF(N83:$N$1000,N82)&gt;0,"",N82))</f>
        <v/>
      </c>
      <c r="Q82" s="21">
        <f t="shared" si="10"/>
        <v>87</v>
      </c>
      <c r="R82" s="22" t="str">
        <f t="shared" si="11"/>
        <v>龙</v>
      </c>
      <c r="X82" s="2">
        <v>75</v>
      </c>
      <c r="Y82" s="2" t="s">
        <v>22</v>
      </c>
    </row>
    <row r="83" s="1" customFormat="1" spans="1:25">
      <c r="A83" s="2">
        <v>115056718</v>
      </c>
      <c r="B83" s="2">
        <v>49</v>
      </c>
      <c r="C83" s="2">
        <v>45</v>
      </c>
      <c r="D83" s="2">
        <v>8</v>
      </c>
      <c r="E83" s="2">
        <v>28</v>
      </c>
      <c r="F83" s="2">
        <v>16</v>
      </c>
      <c r="G83" s="2">
        <v>20</v>
      </c>
      <c r="H83" s="3">
        <v>41</v>
      </c>
      <c r="I83" s="2" t="str">
        <f t="shared" si="7"/>
        <v>虎</v>
      </c>
      <c r="J83" s="4">
        <f>IF(H83="","",IF(OR(AND(M83&lt;&gt;"",M83=IFERROR(INDEX($M$3:M82,MIN(IF(COUNTIF($M$3:M82,"0")=0,10^9,LOOKUP(2,1/($M$3:M82="0"),ROW($M$3:M82))),IF(COUNTIF($M$3:M82,"1")=0,10^9,LOOKUP(2,1/($M$3:M82="1"),ROW($M$3:M82))),IF(COUNTIF($M$3:M82,"2")=0,10^9,LOOKUP(2,1/($M$3:M82="2"),ROW($M$3:M82))),IF(COUNTIF($M$3:M82,"3")=0,10^9,LOOKUP(2,1/($M$3:M82="3"),ROW($M$3:M82))),IF(COUNTIF($M$3:M82,"4")=0,10^9,LOOKUP(2,1/($M$3:M82="4"),ROW($M$3:M82))),IF(COUNTIF($M$3:M82,"5")=0,10^9,LOOKUP(2,1/($M$3:M82="5"),ROW($M$3:M82))),IF(COUNTIF($M$3:M82,"6")=0,10^9,LOOKUP(2,1/($M$3:M82="6"),ROW($M$3:M82))),IF(COUNTIF($M$3:M82,"7")=0,10^9,LOOKUP(2,1/($M$3:M82="7"),ROW($M$3:M82))),IF(COUNTIF($M$3:M82,"8")=0,10^9,LOOKUP(2,1/($M$3:M82="8"),ROW($M$3:M82))),IF(COUNTIF($M$3:M82,"9")=0,10^9,LOOKUP(2,1/($M$3:M82="9"),ROW($M$3:M82))))-ROW($M$3)+1),"")),AND(N83&lt;&gt;"",N83=IFERROR(INDEX($N$3:N82,MIN(IF(COUNTIF($N$3:N82,"鼠")=0,10^9,LOOKUP(2,1/($N$3:N82="鼠"),ROW($N$3:N82))),IF(COUNTIF($N$3:N82,"牛")=0,10^9,LOOKUP(2,1/($N$3:N82="牛"),ROW($N$3:N82))),IF(COUNTIF($N$3:N82,"虎")=0,10^9,LOOKUP(2,1/($N$3:N82="虎"),ROW($N$3:N82))),IF(COUNTIF($N$3:N82,"兔")=0,10^9,LOOKUP(2,1/($N$3:N82="兔"),ROW($N$3:N82))),IF(COUNTIF($N$3:N82,"龙")=0,10^9,LOOKUP(2,1/($N$3:N82="龙"),ROW($N$3:N82))),IF(COUNTIF($N$3:N82,"蛇")=0,10^9,LOOKUP(2,1/($N$3:N82="蛇"),ROW($N$3:N82))),IF(COUNTIF($N$3:N82,"马")=0,10^9,LOOKUP(2,1/($N$3:N82="马"),ROW($N$3:N82))),IF(COUNTIF($N$3:N82,"羊")=0,10^9,LOOKUP(2,1/($N$3:N82="羊"),ROW($N$3:N82))),IF(COUNTIF($N$3:N82,"猴")=0,10^9,LOOKUP(2,1/($N$3:N82="猴"),ROW($N$3:N82))),IF(COUNTIF($N$3:N82,"鸡")=0,10^9,LOOKUP(2,1/($N$3:N82="鸡"),ROW($N$3:N82))),IF(COUNTIF($N$3:N82,"狗")=0,10^9,LOOKUP(2,1/($N$3:N82="狗"),ROW($N$3:N82))),IF(COUNTIF($N$3:N82,"猪")=0,10^9,LOOKUP(2,1/($N$3:N82="猪"),ROW($N$3:N82))))-ROW($N$3)+1),""))),0,IF(ISNUMBER(J82),J82+1,1)))</f>
        <v>17</v>
      </c>
      <c r="K83" s="5">
        <f t="shared" si="12"/>
        <v>10</v>
      </c>
      <c r="M83" s="6" t="str">
        <f t="shared" si="8"/>
        <v>1</v>
      </c>
      <c r="N83" s="2" t="str">
        <f t="shared" si="9"/>
        <v>虎</v>
      </c>
      <c r="O83" s="7" t="str">
        <f>IF(M83="","",IF(COUNTIF(M84:$M$1000,M83)&gt;0,"",M83))</f>
        <v/>
      </c>
      <c r="P83" s="8" t="str">
        <f>IF(N83="","",IF(COUNTIF(N84:$N$1000,N83)&gt;0,"",N83))</f>
        <v/>
      </c>
      <c r="Q83" s="21">
        <f t="shared" si="10"/>
        <v>110</v>
      </c>
      <c r="R83" s="22" t="str">
        <f t="shared" si="11"/>
        <v>蛇</v>
      </c>
      <c r="X83" s="2">
        <v>87</v>
      </c>
      <c r="Y83" s="2" t="s">
        <v>22</v>
      </c>
    </row>
    <row r="84" s="1" customFormat="1" spans="1:25">
      <c r="A84" s="2">
        <v>115056719</v>
      </c>
      <c r="B84" s="2">
        <v>22</v>
      </c>
      <c r="C84" s="2">
        <v>49</v>
      </c>
      <c r="D84" s="2">
        <v>20</v>
      </c>
      <c r="E84" s="2">
        <v>13</v>
      </c>
      <c r="F84" s="2">
        <v>28</v>
      </c>
      <c r="G84" s="2">
        <v>36</v>
      </c>
      <c r="H84" s="3">
        <v>25</v>
      </c>
      <c r="I84" s="2" t="str">
        <f t="shared" si="7"/>
        <v>马</v>
      </c>
      <c r="J84" s="4">
        <f>IF(H84="","",IF(OR(AND(M84&lt;&gt;"",M84=IFERROR(INDEX($M$3:M83,MIN(IF(COUNTIF($M$3:M83,"0")=0,10^9,LOOKUP(2,1/($M$3:M83="0"),ROW($M$3:M83))),IF(COUNTIF($M$3:M83,"1")=0,10^9,LOOKUP(2,1/($M$3:M83="1"),ROW($M$3:M83))),IF(COUNTIF($M$3:M83,"2")=0,10^9,LOOKUP(2,1/($M$3:M83="2"),ROW($M$3:M83))),IF(COUNTIF($M$3:M83,"3")=0,10^9,LOOKUP(2,1/($M$3:M83="3"),ROW($M$3:M83))),IF(COUNTIF($M$3:M83,"4")=0,10^9,LOOKUP(2,1/($M$3:M83="4"),ROW($M$3:M83))),IF(COUNTIF($M$3:M83,"5")=0,10^9,LOOKUP(2,1/($M$3:M83="5"),ROW($M$3:M83))),IF(COUNTIF($M$3:M83,"6")=0,10^9,LOOKUP(2,1/($M$3:M83="6"),ROW($M$3:M83))),IF(COUNTIF($M$3:M83,"7")=0,10^9,LOOKUP(2,1/($M$3:M83="7"),ROW($M$3:M83))),IF(COUNTIF($M$3:M83,"8")=0,10^9,LOOKUP(2,1/($M$3:M83="8"),ROW($M$3:M83))),IF(COUNTIF($M$3:M83,"9")=0,10^9,LOOKUP(2,1/($M$3:M83="9"),ROW($M$3:M83))))-ROW($M$3)+1),"")),AND(N84&lt;&gt;"",N84=IFERROR(INDEX($N$3:N83,MIN(IF(COUNTIF($N$3:N83,"鼠")=0,10^9,LOOKUP(2,1/($N$3:N83="鼠"),ROW($N$3:N83))),IF(COUNTIF($N$3:N83,"牛")=0,10^9,LOOKUP(2,1/($N$3:N83="牛"),ROW($N$3:N83))),IF(COUNTIF($N$3:N83,"虎")=0,10^9,LOOKUP(2,1/($N$3:N83="虎"),ROW($N$3:N83))),IF(COUNTIF($N$3:N83,"兔")=0,10^9,LOOKUP(2,1/($N$3:N83="兔"),ROW($N$3:N83))),IF(COUNTIF($N$3:N83,"龙")=0,10^9,LOOKUP(2,1/($N$3:N83="龙"),ROW($N$3:N83))),IF(COUNTIF($N$3:N83,"蛇")=0,10^9,LOOKUP(2,1/($N$3:N83="蛇"),ROW($N$3:N83))),IF(COUNTIF($N$3:N83,"马")=0,10^9,LOOKUP(2,1/($N$3:N83="马"),ROW($N$3:N83))),IF(COUNTIF($N$3:N83,"羊")=0,10^9,LOOKUP(2,1/($N$3:N83="羊"),ROW($N$3:N83))),IF(COUNTIF($N$3:N83,"猴")=0,10^9,LOOKUP(2,1/($N$3:N83="猴"),ROW($N$3:N83))),IF(COUNTIF($N$3:N83,"鸡")=0,10^9,LOOKUP(2,1/($N$3:N83="鸡"),ROW($N$3:N83))),IF(COUNTIF($N$3:N83,"狗")=0,10^9,LOOKUP(2,1/($N$3:N83="狗"),ROW($N$3:N83))),IF(COUNTIF($N$3:N83,"猪")=0,10^9,LOOKUP(2,1/($N$3:N83="猪"),ROW($N$3:N83))))-ROW($N$3)+1),""))),0,IF(ISNUMBER(J83),J83+1,1)))</f>
        <v>18</v>
      </c>
      <c r="K84" s="5">
        <f t="shared" si="12"/>
        <v>11</v>
      </c>
      <c r="M84" s="6" t="str">
        <f t="shared" si="8"/>
        <v>5</v>
      </c>
      <c r="N84" s="2" t="str">
        <f t="shared" si="9"/>
        <v>马</v>
      </c>
      <c r="O84" s="7" t="str">
        <f>IF(M84="","",IF(COUNTIF(M85:$M$1000,M84)&gt;0,"",M84))</f>
        <v/>
      </c>
      <c r="P84" s="8" t="str">
        <f>IF(N84="","",IF(COUNTIF(N85:$N$1000,N84)&gt;0,"",N84))</f>
        <v/>
      </c>
      <c r="Q84" s="21">
        <f t="shared" si="10"/>
        <v>110</v>
      </c>
      <c r="R84" s="22" t="str">
        <f t="shared" si="11"/>
        <v>蛇</v>
      </c>
      <c r="X84" s="2">
        <v>99</v>
      </c>
      <c r="Y84" s="2" t="s">
        <v>22</v>
      </c>
    </row>
    <row r="85" s="1" customFormat="1" spans="1:25">
      <c r="A85" s="2">
        <v>115056720</v>
      </c>
      <c r="B85" s="2">
        <v>37</v>
      </c>
      <c r="C85" s="2">
        <v>8</v>
      </c>
      <c r="D85" s="2">
        <v>16</v>
      </c>
      <c r="E85" s="2">
        <v>44</v>
      </c>
      <c r="F85" s="2">
        <v>20</v>
      </c>
      <c r="G85" s="2">
        <v>23</v>
      </c>
      <c r="H85" s="3">
        <v>29</v>
      </c>
      <c r="I85" s="2" t="str">
        <f t="shared" si="7"/>
        <v>虎</v>
      </c>
      <c r="J85" s="4">
        <f>IF(H85="","",IF(OR(AND(M85&lt;&gt;"",M85=IFERROR(INDEX($M$3:M84,MIN(IF(COUNTIF($M$3:M84,"0")=0,10^9,LOOKUP(2,1/($M$3:M84="0"),ROW($M$3:M84))),IF(COUNTIF($M$3:M84,"1")=0,10^9,LOOKUP(2,1/($M$3:M84="1"),ROW($M$3:M84))),IF(COUNTIF($M$3:M84,"2")=0,10^9,LOOKUP(2,1/($M$3:M84="2"),ROW($M$3:M84))),IF(COUNTIF($M$3:M84,"3")=0,10^9,LOOKUP(2,1/($M$3:M84="3"),ROW($M$3:M84))),IF(COUNTIF($M$3:M84,"4")=0,10^9,LOOKUP(2,1/($M$3:M84="4"),ROW($M$3:M84))),IF(COUNTIF($M$3:M84,"5")=0,10^9,LOOKUP(2,1/($M$3:M84="5"),ROW($M$3:M84))),IF(COUNTIF($M$3:M84,"6")=0,10^9,LOOKUP(2,1/($M$3:M84="6"),ROW($M$3:M84))),IF(COUNTIF($M$3:M84,"7")=0,10^9,LOOKUP(2,1/($M$3:M84="7"),ROW($M$3:M84))),IF(COUNTIF($M$3:M84,"8")=0,10^9,LOOKUP(2,1/($M$3:M84="8"),ROW($M$3:M84))),IF(COUNTIF($M$3:M84,"9")=0,10^9,LOOKUP(2,1/($M$3:M84="9"),ROW($M$3:M84))))-ROW($M$3)+1),"")),AND(N85&lt;&gt;"",N85=IFERROR(INDEX($N$3:N84,MIN(IF(COUNTIF($N$3:N84,"鼠")=0,10^9,LOOKUP(2,1/($N$3:N84="鼠"),ROW($N$3:N84))),IF(COUNTIF($N$3:N84,"牛")=0,10^9,LOOKUP(2,1/($N$3:N84="牛"),ROW($N$3:N84))),IF(COUNTIF($N$3:N84,"虎")=0,10^9,LOOKUP(2,1/($N$3:N84="虎"),ROW($N$3:N84))),IF(COUNTIF($N$3:N84,"兔")=0,10^9,LOOKUP(2,1/($N$3:N84="兔"),ROW($N$3:N84))),IF(COUNTIF($N$3:N84,"龙")=0,10^9,LOOKUP(2,1/($N$3:N84="龙"),ROW($N$3:N84))),IF(COUNTIF($N$3:N84,"蛇")=0,10^9,LOOKUP(2,1/($N$3:N84="蛇"),ROW($N$3:N84))),IF(COUNTIF($N$3:N84,"马")=0,10^9,LOOKUP(2,1/($N$3:N84="马"),ROW($N$3:N84))),IF(COUNTIF($N$3:N84,"羊")=0,10^9,LOOKUP(2,1/($N$3:N84="羊"),ROW($N$3:N84))),IF(COUNTIF($N$3:N84,"猴")=0,10^9,LOOKUP(2,1/($N$3:N84="猴"),ROW($N$3:N84))),IF(COUNTIF($N$3:N84,"鸡")=0,10^9,LOOKUP(2,1/($N$3:N84="鸡"),ROW($N$3:N84))),IF(COUNTIF($N$3:N84,"狗")=0,10^9,LOOKUP(2,1/($N$3:N84="狗"),ROW($N$3:N84))),IF(COUNTIF($N$3:N84,"猪")=0,10^9,LOOKUP(2,1/($N$3:N84="猪"),ROW($N$3:N84))))-ROW($N$3)+1),""))),0,IF(ISNUMBER(J84),J84+1,1)))</f>
        <v>19</v>
      </c>
      <c r="K85" s="5">
        <f t="shared" si="12"/>
        <v>12</v>
      </c>
      <c r="M85" s="6" t="str">
        <f t="shared" si="8"/>
        <v>9</v>
      </c>
      <c r="N85" s="2" t="str">
        <f t="shared" si="9"/>
        <v>虎</v>
      </c>
      <c r="O85" s="7" t="str">
        <f>IF(M85="","",IF(COUNTIF(M86:$M$1000,M85)&gt;0,"",M85))</f>
        <v/>
      </c>
      <c r="P85" s="8" t="str">
        <f>IF(N85="","",IF(COUNTIF(N86:$N$1000,N85)&gt;0,"",N85))</f>
        <v/>
      </c>
      <c r="Q85" s="21">
        <f t="shared" si="10"/>
        <v>86</v>
      </c>
      <c r="R85" s="22" t="str">
        <f t="shared" si="11"/>
        <v>蛇</v>
      </c>
      <c r="X85" s="2">
        <v>111</v>
      </c>
      <c r="Y85" s="2" t="s">
        <v>22</v>
      </c>
    </row>
    <row r="86" s="1" customFormat="1" spans="1:25">
      <c r="A86" s="2">
        <v>115056721</v>
      </c>
      <c r="B86" s="2">
        <v>7</v>
      </c>
      <c r="C86" s="2">
        <v>35</v>
      </c>
      <c r="D86" s="2">
        <v>17</v>
      </c>
      <c r="E86" s="2">
        <v>45</v>
      </c>
      <c r="F86" s="2">
        <v>42</v>
      </c>
      <c r="G86" s="2">
        <v>49</v>
      </c>
      <c r="H86" s="3">
        <v>9</v>
      </c>
      <c r="I86" s="2" t="str">
        <f t="shared" si="7"/>
        <v>狗</v>
      </c>
      <c r="J86" s="4">
        <f>IF(H86="","",IF(OR(AND(M86&lt;&gt;"",M86=IFERROR(INDEX($M$3:M85,MIN(IF(COUNTIF($M$3:M85,"0")=0,10^9,LOOKUP(2,1/($M$3:M85="0"),ROW($M$3:M85))),IF(COUNTIF($M$3:M85,"1")=0,10^9,LOOKUP(2,1/($M$3:M85="1"),ROW($M$3:M85))),IF(COUNTIF($M$3:M85,"2")=0,10^9,LOOKUP(2,1/($M$3:M85="2"),ROW($M$3:M85))),IF(COUNTIF($M$3:M85,"3")=0,10^9,LOOKUP(2,1/($M$3:M85="3"),ROW($M$3:M85))),IF(COUNTIF($M$3:M85,"4")=0,10^9,LOOKUP(2,1/($M$3:M85="4"),ROW($M$3:M85))),IF(COUNTIF($M$3:M85,"5")=0,10^9,LOOKUP(2,1/($M$3:M85="5"),ROW($M$3:M85))),IF(COUNTIF($M$3:M85,"6")=0,10^9,LOOKUP(2,1/($M$3:M85="6"),ROW($M$3:M85))),IF(COUNTIF($M$3:M85,"7")=0,10^9,LOOKUP(2,1/($M$3:M85="7"),ROW($M$3:M85))),IF(COUNTIF($M$3:M85,"8")=0,10^9,LOOKUP(2,1/($M$3:M85="8"),ROW($M$3:M85))),IF(COUNTIF($M$3:M85,"9")=0,10^9,LOOKUP(2,1/($M$3:M85="9"),ROW($M$3:M85))))-ROW($M$3)+1),"")),AND(N86&lt;&gt;"",N86=IFERROR(INDEX($N$3:N85,MIN(IF(COUNTIF($N$3:N85,"鼠")=0,10^9,LOOKUP(2,1/($N$3:N85="鼠"),ROW($N$3:N85))),IF(COUNTIF($N$3:N85,"牛")=0,10^9,LOOKUP(2,1/($N$3:N85="牛"),ROW($N$3:N85))),IF(COUNTIF($N$3:N85,"虎")=0,10^9,LOOKUP(2,1/($N$3:N85="虎"),ROW($N$3:N85))),IF(COUNTIF($N$3:N85,"兔")=0,10^9,LOOKUP(2,1/($N$3:N85="兔"),ROW($N$3:N85))),IF(COUNTIF($N$3:N85,"龙")=0,10^9,LOOKUP(2,1/($N$3:N85="龙"),ROW($N$3:N85))),IF(COUNTIF($N$3:N85,"蛇")=0,10^9,LOOKUP(2,1/($N$3:N85="蛇"),ROW($N$3:N85))),IF(COUNTIF($N$3:N85,"马")=0,10^9,LOOKUP(2,1/($N$3:N85="马"),ROW($N$3:N85))),IF(COUNTIF($N$3:N85,"羊")=0,10^9,LOOKUP(2,1/($N$3:N85="羊"),ROW($N$3:N85))),IF(COUNTIF($N$3:N85,"猴")=0,10^9,LOOKUP(2,1/($N$3:N85="猴"),ROW($N$3:N85))),IF(COUNTIF($N$3:N85,"鸡")=0,10^9,LOOKUP(2,1/($N$3:N85="鸡"),ROW($N$3:N85))),IF(COUNTIF($N$3:N85,"狗")=0,10^9,LOOKUP(2,1/($N$3:N85="狗"),ROW($N$3:N85))),IF(COUNTIF($N$3:N85,"猪")=0,10^9,LOOKUP(2,1/($N$3:N85="猪"),ROW($N$3:N85))))-ROW($N$3)+1),""))),0,IF(ISNUMBER(J85),J85+1,1)))</f>
        <v>20</v>
      </c>
      <c r="K86" s="5">
        <f t="shared" si="12"/>
        <v>13</v>
      </c>
      <c r="M86" s="6" t="str">
        <f t="shared" si="8"/>
        <v>9</v>
      </c>
      <c r="N86" s="2" t="str">
        <f t="shared" si="9"/>
        <v>狗</v>
      </c>
      <c r="O86" s="7" t="str">
        <f>IF(M86="","",IF(COUNTIF(M87:$M$1000,M86)&gt;0,"",M86))</f>
        <v/>
      </c>
      <c r="P86" s="8" t="str">
        <f>IF(N86="","",IF(COUNTIF(N87:$N$1000,N86)&gt;0,"",N86))</f>
        <v/>
      </c>
      <c r="Q86" s="21">
        <f t="shared" si="10"/>
        <v>126</v>
      </c>
      <c r="R86" s="22" t="str">
        <f t="shared" si="11"/>
        <v>牛</v>
      </c>
      <c r="X86" s="2">
        <v>123</v>
      </c>
      <c r="Y86" s="2" t="s">
        <v>22</v>
      </c>
    </row>
    <row r="87" s="1" customFormat="1" spans="1:25">
      <c r="A87" s="2">
        <v>115056722</v>
      </c>
      <c r="B87" s="2">
        <v>1</v>
      </c>
      <c r="C87" s="2">
        <v>2</v>
      </c>
      <c r="D87" s="2">
        <v>47</v>
      </c>
      <c r="E87" s="2">
        <v>27</v>
      </c>
      <c r="F87" s="2">
        <v>18</v>
      </c>
      <c r="G87" s="2">
        <v>33</v>
      </c>
      <c r="H87" s="3">
        <v>32</v>
      </c>
      <c r="I87" s="2" t="str">
        <f t="shared" si="7"/>
        <v>猪</v>
      </c>
      <c r="J87" s="4">
        <f>IF(H87="","",IF(OR(AND(M87&lt;&gt;"",M87=IFERROR(INDEX($M$3:M86,MIN(IF(COUNTIF($M$3:M86,"0")=0,10^9,LOOKUP(2,1/($M$3:M86="0"),ROW($M$3:M86))),IF(COUNTIF($M$3:M86,"1")=0,10^9,LOOKUP(2,1/($M$3:M86="1"),ROW($M$3:M86))),IF(COUNTIF($M$3:M86,"2")=0,10^9,LOOKUP(2,1/($M$3:M86="2"),ROW($M$3:M86))),IF(COUNTIF($M$3:M86,"3")=0,10^9,LOOKUP(2,1/($M$3:M86="3"),ROW($M$3:M86))),IF(COUNTIF($M$3:M86,"4")=0,10^9,LOOKUP(2,1/($M$3:M86="4"),ROW($M$3:M86))),IF(COUNTIF($M$3:M86,"5")=0,10^9,LOOKUP(2,1/($M$3:M86="5"),ROW($M$3:M86))),IF(COUNTIF($M$3:M86,"6")=0,10^9,LOOKUP(2,1/($M$3:M86="6"),ROW($M$3:M86))),IF(COUNTIF($M$3:M86,"7")=0,10^9,LOOKUP(2,1/($M$3:M86="7"),ROW($M$3:M86))),IF(COUNTIF($M$3:M86,"8")=0,10^9,LOOKUP(2,1/($M$3:M86="8"),ROW($M$3:M86))),IF(COUNTIF($M$3:M86,"9")=0,10^9,LOOKUP(2,1/($M$3:M86="9"),ROW($M$3:M86))))-ROW($M$3)+1),"")),AND(N87&lt;&gt;"",N87=IFERROR(INDEX($N$3:N86,MIN(IF(COUNTIF($N$3:N86,"鼠")=0,10^9,LOOKUP(2,1/($N$3:N86="鼠"),ROW($N$3:N86))),IF(COUNTIF($N$3:N86,"牛")=0,10^9,LOOKUP(2,1/($N$3:N86="牛"),ROW($N$3:N86))),IF(COUNTIF($N$3:N86,"虎")=0,10^9,LOOKUP(2,1/($N$3:N86="虎"),ROW($N$3:N86))),IF(COUNTIF($N$3:N86,"兔")=0,10^9,LOOKUP(2,1/($N$3:N86="兔"),ROW($N$3:N86))),IF(COUNTIF($N$3:N86,"龙")=0,10^9,LOOKUP(2,1/($N$3:N86="龙"),ROW($N$3:N86))),IF(COUNTIF($N$3:N86,"蛇")=0,10^9,LOOKUP(2,1/($N$3:N86="蛇"),ROW($N$3:N86))),IF(COUNTIF($N$3:N86,"马")=0,10^9,LOOKUP(2,1/($N$3:N86="马"),ROW($N$3:N86))),IF(COUNTIF($N$3:N86,"羊")=0,10^9,LOOKUP(2,1/($N$3:N86="羊"),ROW($N$3:N86))),IF(COUNTIF($N$3:N86,"猴")=0,10^9,LOOKUP(2,1/($N$3:N86="猴"),ROW($N$3:N86))),IF(COUNTIF($N$3:N86,"鸡")=0,10^9,LOOKUP(2,1/($N$3:N86="鸡"),ROW($N$3:N86))),IF(COUNTIF($N$3:N86,"狗")=0,10^9,LOOKUP(2,1/($N$3:N86="狗"),ROW($N$3:N86))),IF(COUNTIF($N$3:N86,"猪")=0,10^9,LOOKUP(2,1/($N$3:N86="猪"),ROW($N$3:N86))))-ROW($N$3)+1),""))),0,IF(ISNUMBER(J86),J86+1,1)))</f>
        <v>0</v>
      </c>
      <c r="K87" s="5">
        <f t="shared" si="12"/>
        <v>14</v>
      </c>
      <c r="L87" s="25"/>
      <c r="M87" s="6" t="str">
        <f t="shared" si="8"/>
        <v>2</v>
      </c>
      <c r="N87" s="2" t="str">
        <f t="shared" si="9"/>
        <v>猪</v>
      </c>
      <c r="O87" s="7" t="str">
        <f>IF(M87="","",IF(COUNTIF(M88:$M$1000,M87)&gt;0,"",M87))</f>
        <v/>
      </c>
      <c r="P87" s="8" t="str">
        <f>IF(N87="","",IF(COUNTIF(N88:$N$1000,N87)&gt;0,"",N87))</f>
        <v/>
      </c>
      <c r="Q87" s="21">
        <f t="shared" si="10"/>
        <v>102</v>
      </c>
      <c r="R87" s="22" t="str">
        <f t="shared" si="11"/>
        <v>牛</v>
      </c>
      <c r="X87" s="2">
        <v>50</v>
      </c>
      <c r="Y87" s="2" t="s">
        <v>23</v>
      </c>
    </row>
    <row r="88" s="1" customFormat="1" spans="1:25">
      <c r="A88" s="2">
        <v>115056723</v>
      </c>
      <c r="B88" s="2">
        <v>37</v>
      </c>
      <c r="C88" s="2">
        <v>36</v>
      </c>
      <c r="D88" s="2">
        <v>33</v>
      </c>
      <c r="E88" s="2">
        <v>18</v>
      </c>
      <c r="F88" s="2">
        <v>23</v>
      </c>
      <c r="G88" s="2">
        <v>11</v>
      </c>
      <c r="H88" s="3">
        <v>12</v>
      </c>
      <c r="I88" s="2" t="str">
        <f t="shared" si="7"/>
        <v>羊</v>
      </c>
      <c r="J88" s="4">
        <f>IF(H88="","",IF(OR(AND(M88&lt;&gt;"",M88=IFERROR(INDEX($M$3:M87,MIN(IF(COUNTIF($M$3:M87,"0")=0,10^9,LOOKUP(2,1/($M$3:M87="0"),ROW($M$3:M87))),IF(COUNTIF($M$3:M87,"1")=0,10^9,LOOKUP(2,1/($M$3:M87="1"),ROW($M$3:M87))),IF(COUNTIF($M$3:M87,"2")=0,10^9,LOOKUP(2,1/($M$3:M87="2"),ROW($M$3:M87))),IF(COUNTIF($M$3:M87,"3")=0,10^9,LOOKUP(2,1/($M$3:M87="3"),ROW($M$3:M87))),IF(COUNTIF($M$3:M87,"4")=0,10^9,LOOKUP(2,1/($M$3:M87="4"),ROW($M$3:M87))),IF(COUNTIF($M$3:M87,"5")=0,10^9,LOOKUP(2,1/($M$3:M87="5"),ROW($M$3:M87))),IF(COUNTIF($M$3:M87,"6")=0,10^9,LOOKUP(2,1/($M$3:M87="6"),ROW($M$3:M87))),IF(COUNTIF($M$3:M87,"7")=0,10^9,LOOKUP(2,1/($M$3:M87="7"),ROW($M$3:M87))),IF(COUNTIF($M$3:M87,"8")=0,10^9,LOOKUP(2,1/($M$3:M87="8"),ROW($M$3:M87))),IF(COUNTIF($M$3:M87,"9")=0,10^9,LOOKUP(2,1/($M$3:M87="9"),ROW($M$3:M87))))-ROW($M$3)+1),"")),AND(N88&lt;&gt;"",N88=IFERROR(INDEX($N$3:N87,MIN(IF(COUNTIF($N$3:N87,"鼠")=0,10^9,LOOKUP(2,1/($N$3:N87="鼠"),ROW($N$3:N87))),IF(COUNTIF($N$3:N87,"牛")=0,10^9,LOOKUP(2,1/($N$3:N87="牛"),ROW($N$3:N87))),IF(COUNTIF($N$3:N87,"虎")=0,10^9,LOOKUP(2,1/($N$3:N87="虎"),ROW($N$3:N87))),IF(COUNTIF($N$3:N87,"兔")=0,10^9,LOOKUP(2,1/($N$3:N87="兔"),ROW($N$3:N87))),IF(COUNTIF($N$3:N87,"龙")=0,10^9,LOOKUP(2,1/($N$3:N87="龙"),ROW($N$3:N87))),IF(COUNTIF($N$3:N87,"蛇")=0,10^9,LOOKUP(2,1/($N$3:N87="蛇"),ROW($N$3:N87))),IF(COUNTIF($N$3:N87,"马")=0,10^9,LOOKUP(2,1/($N$3:N87="马"),ROW($N$3:N87))),IF(COUNTIF($N$3:N87,"羊")=0,10^9,LOOKUP(2,1/($N$3:N87="羊"),ROW($N$3:N87))),IF(COUNTIF($N$3:N87,"猴")=0,10^9,LOOKUP(2,1/($N$3:N87="猴"),ROW($N$3:N87))),IF(COUNTIF($N$3:N87,"鸡")=0,10^9,LOOKUP(2,1/($N$3:N87="鸡"),ROW($N$3:N87))),IF(COUNTIF($N$3:N87,"狗")=0,10^9,LOOKUP(2,1/($N$3:N87="狗"),ROW($N$3:N87))),IF(COUNTIF($N$3:N87,"猪")=0,10^9,LOOKUP(2,1/($N$3:N87="猪"),ROW($N$3:N87))))-ROW($N$3)+1),""))),0,IF(ISNUMBER(J87),J87+1,1)))</f>
        <v>1</v>
      </c>
      <c r="K88" s="5">
        <f t="shared" si="12"/>
        <v>15</v>
      </c>
      <c r="M88" s="6" t="str">
        <f t="shared" si="8"/>
        <v>2</v>
      </c>
      <c r="N88" s="2" t="str">
        <f t="shared" si="9"/>
        <v>羊</v>
      </c>
      <c r="O88" s="7" t="str">
        <f>IF(M88="","",IF(COUNTIF(M89:$M$1000,M88)&gt;0,"",M88))</f>
        <v/>
      </c>
      <c r="P88" s="8" t="str">
        <f>IF(N88="","",IF(COUNTIF(N89:$N$1000,N88)&gt;0,"",N88))</f>
        <v/>
      </c>
      <c r="Q88" s="21">
        <f t="shared" si="10"/>
        <v>101</v>
      </c>
      <c r="R88" s="22" t="str">
        <f t="shared" si="11"/>
        <v>虎</v>
      </c>
      <c r="X88" s="2">
        <v>62</v>
      </c>
      <c r="Y88" s="2" t="s">
        <v>23</v>
      </c>
    </row>
    <row r="89" s="1" customFormat="1" spans="1:25">
      <c r="A89" s="2">
        <v>115056724</v>
      </c>
      <c r="B89" s="2">
        <v>13</v>
      </c>
      <c r="C89" s="2">
        <v>1</v>
      </c>
      <c r="D89" s="2">
        <v>46</v>
      </c>
      <c r="E89" s="2">
        <v>49</v>
      </c>
      <c r="F89" s="2">
        <v>43</v>
      </c>
      <c r="G89" s="2">
        <v>12</v>
      </c>
      <c r="H89" s="3">
        <v>47</v>
      </c>
      <c r="I89" s="2" t="str">
        <f t="shared" si="7"/>
        <v>猴</v>
      </c>
      <c r="J89" s="4">
        <f>IF(H89="","",IF(OR(AND(M89&lt;&gt;"",M89=IFERROR(INDEX($M$3:M88,MIN(IF(COUNTIF($M$3:M88,"0")=0,10^9,LOOKUP(2,1/($M$3:M88="0"),ROW($M$3:M88))),IF(COUNTIF($M$3:M88,"1")=0,10^9,LOOKUP(2,1/($M$3:M88="1"),ROW($M$3:M88))),IF(COUNTIF($M$3:M88,"2")=0,10^9,LOOKUP(2,1/($M$3:M88="2"),ROW($M$3:M88))),IF(COUNTIF($M$3:M88,"3")=0,10^9,LOOKUP(2,1/($M$3:M88="3"),ROW($M$3:M88))),IF(COUNTIF($M$3:M88,"4")=0,10^9,LOOKUP(2,1/($M$3:M88="4"),ROW($M$3:M88))),IF(COUNTIF($M$3:M88,"5")=0,10^9,LOOKUP(2,1/($M$3:M88="5"),ROW($M$3:M88))),IF(COUNTIF($M$3:M88,"6")=0,10^9,LOOKUP(2,1/($M$3:M88="6"),ROW($M$3:M88))),IF(COUNTIF($M$3:M88,"7")=0,10^9,LOOKUP(2,1/($M$3:M88="7"),ROW($M$3:M88))),IF(COUNTIF($M$3:M88,"8")=0,10^9,LOOKUP(2,1/($M$3:M88="8"),ROW($M$3:M88))),IF(COUNTIF($M$3:M88,"9")=0,10^9,LOOKUP(2,1/($M$3:M88="9"),ROW($M$3:M88))))-ROW($M$3)+1),"")),AND(N89&lt;&gt;"",N89=IFERROR(INDEX($N$3:N88,MIN(IF(COUNTIF($N$3:N88,"鼠")=0,10^9,LOOKUP(2,1/($N$3:N88="鼠"),ROW($N$3:N88))),IF(COUNTIF($N$3:N88,"牛")=0,10^9,LOOKUP(2,1/($N$3:N88="牛"),ROW($N$3:N88))),IF(COUNTIF($N$3:N88,"虎")=0,10^9,LOOKUP(2,1/($N$3:N88="虎"),ROW($N$3:N88))),IF(COUNTIF($N$3:N88,"兔")=0,10^9,LOOKUP(2,1/($N$3:N88="兔"),ROW($N$3:N88))),IF(COUNTIF($N$3:N88,"龙")=0,10^9,LOOKUP(2,1/($N$3:N88="龙"),ROW($N$3:N88))),IF(COUNTIF($N$3:N88,"蛇")=0,10^9,LOOKUP(2,1/($N$3:N88="蛇"),ROW($N$3:N88))),IF(COUNTIF($N$3:N88,"马")=0,10^9,LOOKUP(2,1/($N$3:N88="马"),ROW($N$3:N88))),IF(COUNTIF($N$3:N88,"羊")=0,10^9,LOOKUP(2,1/($N$3:N88="羊"),ROW($N$3:N88))),IF(COUNTIF($N$3:N88,"猴")=0,10^9,LOOKUP(2,1/($N$3:N88="猴"),ROW($N$3:N88))),IF(COUNTIF($N$3:N88,"鸡")=0,10^9,LOOKUP(2,1/($N$3:N88="鸡"),ROW($N$3:N88))),IF(COUNTIF($N$3:N88,"狗")=0,10^9,LOOKUP(2,1/($N$3:N88="狗"),ROW($N$3:N88))),IF(COUNTIF($N$3:N88,"猪")=0,10^9,LOOKUP(2,1/($N$3:N88="猪"),ROW($N$3:N88))))-ROW($N$3)+1),""))),0,IF(ISNUMBER(J88),J88+1,1)))</f>
        <v>2</v>
      </c>
      <c r="K89" s="5">
        <f t="shared" si="12"/>
        <v>16</v>
      </c>
      <c r="M89" s="6" t="str">
        <f t="shared" si="8"/>
        <v>7</v>
      </c>
      <c r="N89" s="2" t="str">
        <f t="shared" si="9"/>
        <v>猴</v>
      </c>
      <c r="O89" s="7" t="str">
        <f>IF(M89="","",IF(COUNTIF(M90:$M$1000,M89)&gt;0,"",M89))</f>
        <v/>
      </c>
      <c r="P89" s="8" t="str">
        <f>IF(N89="","",IF(COUNTIF(N90:$N$1000,N89)&gt;0,"",N89))</f>
        <v/>
      </c>
      <c r="Q89" s="21">
        <f t="shared" si="10"/>
        <v>118</v>
      </c>
      <c r="R89" s="22" t="str">
        <f t="shared" si="11"/>
        <v>鸡</v>
      </c>
      <c r="X89" s="2">
        <v>74</v>
      </c>
      <c r="Y89" s="2" t="s">
        <v>23</v>
      </c>
    </row>
    <row r="90" s="1" customFormat="1" spans="1:25">
      <c r="A90" s="2">
        <v>115056725</v>
      </c>
      <c r="B90" s="2">
        <v>48</v>
      </c>
      <c r="C90" s="2">
        <v>9</v>
      </c>
      <c r="D90" s="2">
        <v>6</v>
      </c>
      <c r="E90" s="2">
        <v>45</v>
      </c>
      <c r="F90" s="2">
        <v>20</v>
      </c>
      <c r="G90" s="2">
        <v>47</v>
      </c>
      <c r="H90" s="3">
        <v>25</v>
      </c>
      <c r="I90" s="2" t="str">
        <f t="shared" si="7"/>
        <v>马</v>
      </c>
      <c r="J90" s="4">
        <f>IF(H90="","",IF(OR(AND(M90&lt;&gt;"",M90=IFERROR(INDEX($M$3:M89,MIN(IF(COUNTIF($M$3:M89,"0")=0,10^9,LOOKUP(2,1/($M$3:M89="0"),ROW($M$3:M89))),IF(COUNTIF($M$3:M89,"1")=0,10^9,LOOKUP(2,1/($M$3:M89="1"),ROW($M$3:M89))),IF(COUNTIF($M$3:M89,"2")=0,10^9,LOOKUP(2,1/($M$3:M89="2"),ROW($M$3:M89))),IF(COUNTIF($M$3:M89,"3")=0,10^9,LOOKUP(2,1/($M$3:M89="3"),ROW($M$3:M89))),IF(COUNTIF($M$3:M89,"4")=0,10^9,LOOKUP(2,1/($M$3:M89="4"),ROW($M$3:M89))),IF(COUNTIF($M$3:M89,"5")=0,10^9,LOOKUP(2,1/($M$3:M89="5"),ROW($M$3:M89))),IF(COUNTIF($M$3:M89,"6")=0,10^9,LOOKUP(2,1/($M$3:M89="6"),ROW($M$3:M89))),IF(COUNTIF($M$3:M89,"7")=0,10^9,LOOKUP(2,1/($M$3:M89="7"),ROW($M$3:M89))),IF(COUNTIF($M$3:M89,"8")=0,10^9,LOOKUP(2,1/($M$3:M89="8"),ROW($M$3:M89))),IF(COUNTIF($M$3:M89,"9")=0,10^9,LOOKUP(2,1/($M$3:M89="9"),ROW($M$3:M89))))-ROW($M$3)+1),"")),AND(N90&lt;&gt;"",N90=IFERROR(INDEX($N$3:N89,MIN(IF(COUNTIF($N$3:N89,"鼠")=0,10^9,LOOKUP(2,1/($N$3:N89="鼠"),ROW($N$3:N89))),IF(COUNTIF($N$3:N89,"牛")=0,10^9,LOOKUP(2,1/($N$3:N89="牛"),ROW($N$3:N89))),IF(COUNTIF($N$3:N89,"虎")=0,10^9,LOOKUP(2,1/($N$3:N89="虎"),ROW($N$3:N89))),IF(COUNTIF($N$3:N89,"兔")=0,10^9,LOOKUP(2,1/($N$3:N89="兔"),ROW($N$3:N89))),IF(COUNTIF($N$3:N89,"龙")=0,10^9,LOOKUP(2,1/($N$3:N89="龙"),ROW($N$3:N89))),IF(COUNTIF($N$3:N89,"蛇")=0,10^9,LOOKUP(2,1/($N$3:N89="蛇"),ROW($N$3:N89))),IF(COUNTIF($N$3:N89,"马")=0,10^9,LOOKUP(2,1/($N$3:N89="马"),ROW($N$3:N89))),IF(COUNTIF($N$3:N89,"羊")=0,10^9,LOOKUP(2,1/($N$3:N89="羊"),ROW($N$3:N89))),IF(COUNTIF($N$3:N89,"猴")=0,10^9,LOOKUP(2,1/($N$3:N89="猴"),ROW($N$3:N89))),IF(COUNTIF($N$3:N89,"鸡")=0,10^9,LOOKUP(2,1/($N$3:N89="鸡"),ROW($N$3:N89))),IF(COUNTIF($N$3:N89,"狗")=0,10^9,LOOKUP(2,1/($N$3:N89="狗"),ROW($N$3:N89))),IF(COUNTIF($N$3:N89,"猪")=0,10^9,LOOKUP(2,1/($N$3:N89="猪"),ROW($N$3:N89))))-ROW($N$3)+1),""))),0,IF(ISNUMBER(J89),J89+1,1)))</f>
        <v>3</v>
      </c>
      <c r="K90" s="5">
        <f t="shared" si="12"/>
        <v>17</v>
      </c>
      <c r="M90" s="6" t="str">
        <f t="shared" si="8"/>
        <v>5</v>
      </c>
      <c r="N90" s="2" t="str">
        <f t="shared" si="9"/>
        <v>马</v>
      </c>
      <c r="O90" s="7" t="str">
        <f>IF(M90="","",IF(COUNTIF(M91:$M$1000,M90)&gt;0,"",M90))</f>
        <v/>
      </c>
      <c r="P90" s="8" t="str">
        <f>IF(N90="","",IF(COUNTIF(N91:$N$1000,N90)&gt;0,"",N90))</f>
        <v/>
      </c>
      <c r="Q90" s="21">
        <f t="shared" si="10"/>
        <v>119</v>
      </c>
      <c r="R90" s="22" t="str">
        <f t="shared" si="11"/>
        <v>猴</v>
      </c>
      <c r="X90" s="2">
        <v>86</v>
      </c>
      <c r="Y90" s="2" t="s">
        <v>23</v>
      </c>
    </row>
    <row r="91" s="1" customFormat="1" spans="1:25">
      <c r="A91" s="2">
        <v>115056726</v>
      </c>
      <c r="B91" s="2">
        <v>6</v>
      </c>
      <c r="C91" s="2">
        <v>1</v>
      </c>
      <c r="D91" s="2">
        <v>15</v>
      </c>
      <c r="E91" s="2">
        <v>42</v>
      </c>
      <c r="F91" s="2">
        <v>17</v>
      </c>
      <c r="G91" s="2">
        <v>30</v>
      </c>
      <c r="H91" s="3">
        <v>46</v>
      </c>
      <c r="I91" s="2" t="str">
        <f t="shared" si="7"/>
        <v>鸡</v>
      </c>
      <c r="J91" s="4">
        <f>IF(H91="","",IF(OR(AND(M91&lt;&gt;"",M91=IFERROR(INDEX($M$3:M90,MIN(IF(COUNTIF($M$3:M90,"0")=0,10^9,LOOKUP(2,1/($M$3:M90="0"),ROW($M$3:M90))),IF(COUNTIF($M$3:M90,"1")=0,10^9,LOOKUP(2,1/($M$3:M90="1"),ROW($M$3:M90))),IF(COUNTIF($M$3:M90,"2")=0,10^9,LOOKUP(2,1/($M$3:M90="2"),ROW($M$3:M90))),IF(COUNTIF($M$3:M90,"3")=0,10^9,LOOKUP(2,1/($M$3:M90="3"),ROW($M$3:M90))),IF(COUNTIF($M$3:M90,"4")=0,10^9,LOOKUP(2,1/($M$3:M90="4"),ROW($M$3:M90))),IF(COUNTIF($M$3:M90,"5")=0,10^9,LOOKUP(2,1/($M$3:M90="5"),ROW($M$3:M90))),IF(COUNTIF($M$3:M90,"6")=0,10^9,LOOKUP(2,1/($M$3:M90="6"),ROW($M$3:M90))),IF(COUNTIF($M$3:M90,"7")=0,10^9,LOOKUP(2,1/($M$3:M90="7"),ROW($M$3:M90))),IF(COUNTIF($M$3:M90,"8")=0,10^9,LOOKUP(2,1/($M$3:M90="8"),ROW($M$3:M90))),IF(COUNTIF($M$3:M90,"9")=0,10^9,LOOKUP(2,1/($M$3:M90="9"),ROW($M$3:M90))))-ROW($M$3)+1),"")),AND(N91&lt;&gt;"",N91=IFERROR(INDEX($N$3:N90,MIN(IF(COUNTIF($N$3:N90,"鼠")=0,10^9,LOOKUP(2,1/($N$3:N90="鼠"),ROW($N$3:N90))),IF(COUNTIF($N$3:N90,"牛")=0,10^9,LOOKUP(2,1/($N$3:N90="牛"),ROW($N$3:N90))),IF(COUNTIF($N$3:N90,"虎")=0,10^9,LOOKUP(2,1/($N$3:N90="虎"),ROW($N$3:N90))),IF(COUNTIF($N$3:N90,"兔")=0,10^9,LOOKUP(2,1/($N$3:N90="兔"),ROW($N$3:N90))),IF(COUNTIF($N$3:N90,"龙")=0,10^9,LOOKUP(2,1/($N$3:N90="龙"),ROW($N$3:N90))),IF(COUNTIF($N$3:N90,"蛇")=0,10^9,LOOKUP(2,1/($N$3:N90="蛇"),ROW($N$3:N90))),IF(COUNTIF($N$3:N90,"马")=0,10^9,LOOKUP(2,1/($N$3:N90="马"),ROW($N$3:N90))),IF(COUNTIF($N$3:N90,"羊")=0,10^9,LOOKUP(2,1/($N$3:N90="羊"),ROW($N$3:N90))),IF(COUNTIF($N$3:N90,"猴")=0,10^9,LOOKUP(2,1/($N$3:N90="猴"),ROW($N$3:N90))),IF(COUNTIF($N$3:N90,"鸡")=0,10^9,LOOKUP(2,1/($N$3:N90="鸡"),ROW($N$3:N90))),IF(COUNTIF($N$3:N90,"狗")=0,10^9,LOOKUP(2,1/($N$3:N90="狗"),ROW($N$3:N90))),IF(COUNTIF($N$3:N90,"猪")=0,10^9,LOOKUP(2,1/($N$3:N90="猪"),ROW($N$3:N90))))-ROW($N$3)+1),""))),0,IF(ISNUMBER(J90),J90+1,1)))</f>
        <v>0</v>
      </c>
      <c r="K91" s="5">
        <f t="shared" si="12"/>
        <v>18</v>
      </c>
      <c r="M91" s="6" t="str">
        <f t="shared" si="8"/>
        <v>6</v>
      </c>
      <c r="N91" s="2" t="str">
        <f t="shared" si="9"/>
        <v>鸡</v>
      </c>
      <c r="O91" s="7" t="str">
        <f>IF(M91="","",IF(COUNTIF(M92:$M$1000,M91)&gt;0,"",M91))</f>
        <v/>
      </c>
      <c r="P91" s="8" t="str">
        <f>IF(N91="","",IF(COUNTIF(N92:$N$1000,N91)&gt;0,"",N91))</f>
        <v/>
      </c>
      <c r="Q91" s="21">
        <f t="shared" si="10"/>
        <v>78</v>
      </c>
      <c r="R91" s="22" t="str">
        <f t="shared" si="11"/>
        <v>牛</v>
      </c>
      <c r="X91" s="2">
        <v>98</v>
      </c>
      <c r="Y91" s="2" t="s">
        <v>23</v>
      </c>
    </row>
    <row r="92" s="1" customFormat="1" spans="1:25">
      <c r="A92" s="2">
        <v>115056727</v>
      </c>
      <c r="B92" s="2">
        <v>26</v>
      </c>
      <c r="C92" s="2">
        <v>30</v>
      </c>
      <c r="D92" s="2">
        <v>41</v>
      </c>
      <c r="E92" s="2">
        <v>49</v>
      </c>
      <c r="F92" s="2">
        <v>13</v>
      </c>
      <c r="G92" s="2">
        <v>46</v>
      </c>
      <c r="H92" s="3">
        <v>25</v>
      </c>
      <c r="I92" s="2" t="str">
        <f t="shared" si="7"/>
        <v>马</v>
      </c>
      <c r="J92" s="4">
        <f>IF(H92="","",IF(OR(AND(M92&lt;&gt;"",M92=IFERROR(INDEX($M$3:M91,MIN(IF(COUNTIF($M$3:M91,"0")=0,10^9,LOOKUP(2,1/($M$3:M91="0"),ROW($M$3:M91))),IF(COUNTIF($M$3:M91,"1")=0,10^9,LOOKUP(2,1/($M$3:M91="1"),ROW($M$3:M91))),IF(COUNTIF($M$3:M91,"2")=0,10^9,LOOKUP(2,1/($M$3:M91="2"),ROW($M$3:M91))),IF(COUNTIF($M$3:M91,"3")=0,10^9,LOOKUP(2,1/($M$3:M91="3"),ROW($M$3:M91))),IF(COUNTIF($M$3:M91,"4")=0,10^9,LOOKUP(2,1/($M$3:M91="4"),ROW($M$3:M91))),IF(COUNTIF($M$3:M91,"5")=0,10^9,LOOKUP(2,1/($M$3:M91="5"),ROW($M$3:M91))),IF(COUNTIF($M$3:M91,"6")=0,10^9,LOOKUP(2,1/($M$3:M91="6"),ROW($M$3:M91))),IF(COUNTIF($M$3:M91,"7")=0,10^9,LOOKUP(2,1/($M$3:M91="7"),ROW($M$3:M91))),IF(COUNTIF($M$3:M91,"8")=0,10^9,LOOKUP(2,1/($M$3:M91="8"),ROW($M$3:M91))),IF(COUNTIF($M$3:M91,"9")=0,10^9,LOOKUP(2,1/($M$3:M91="9"),ROW($M$3:M91))))-ROW($M$3)+1),"")),AND(N92&lt;&gt;"",N92=IFERROR(INDEX($N$3:N91,MIN(IF(COUNTIF($N$3:N91,"鼠")=0,10^9,LOOKUP(2,1/($N$3:N91="鼠"),ROW($N$3:N91))),IF(COUNTIF($N$3:N91,"牛")=0,10^9,LOOKUP(2,1/($N$3:N91="牛"),ROW($N$3:N91))),IF(COUNTIF($N$3:N91,"虎")=0,10^9,LOOKUP(2,1/($N$3:N91="虎"),ROW($N$3:N91))),IF(COUNTIF($N$3:N91,"兔")=0,10^9,LOOKUP(2,1/($N$3:N91="兔"),ROW($N$3:N91))),IF(COUNTIF($N$3:N91,"龙")=0,10^9,LOOKUP(2,1/($N$3:N91="龙"),ROW($N$3:N91))),IF(COUNTIF($N$3:N91,"蛇")=0,10^9,LOOKUP(2,1/($N$3:N91="蛇"),ROW($N$3:N91))),IF(COUNTIF($N$3:N91,"马")=0,10^9,LOOKUP(2,1/($N$3:N91="马"),ROW($N$3:N91))),IF(COUNTIF($N$3:N91,"羊")=0,10^9,LOOKUP(2,1/($N$3:N91="羊"),ROW($N$3:N91))),IF(COUNTIF($N$3:N91,"猴")=0,10^9,LOOKUP(2,1/($N$3:N91="猴"),ROW($N$3:N91))),IF(COUNTIF($N$3:N91,"鸡")=0,10^9,LOOKUP(2,1/($N$3:N91="鸡"),ROW($N$3:N91))),IF(COUNTIF($N$3:N91,"狗")=0,10^9,LOOKUP(2,1/($N$3:N91="狗"),ROW($N$3:N91))),IF(COUNTIF($N$3:N91,"猪")=0,10^9,LOOKUP(2,1/($N$3:N91="猪"),ROW($N$3:N91))))-ROW($N$3)+1),""))),0,IF(ISNUMBER(J91),J91+1,1)))</f>
        <v>1</v>
      </c>
      <c r="K92" s="5">
        <f t="shared" si="12"/>
        <v>19</v>
      </c>
      <c r="M92" s="6" t="str">
        <f t="shared" si="8"/>
        <v>5</v>
      </c>
      <c r="N92" s="2" t="str">
        <f t="shared" si="9"/>
        <v>马</v>
      </c>
      <c r="O92" s="7" t="str">
        <f>IF(M92="","",IF(COUNTIF(M93:$M$1000,M92)&gt;0,"",M92))</f>
        <v/>
      </c>
      <c r="P92" s="8" t="str">
        <f>IF(N92="","",IF(COUNTIF(N93:$N$1000,N92)&gt;0,"",N92))</f>
        <v/>
      </c>
      <c r="Q92" s="21">
        <f t="shared" si="10"/>
        <v>116</v>
      </c>
      <c r="R92" s="22" t="str">
        <f t="shared" si="11"/>
        <v>猪</v>
      </c>
      <c r="X92" s="2">
        <v>110</v>
      </c>
      <c r="Y92" s="2" t="s">
        <v>23</v>
      </c>
    </row>
    <row r="93" s="1" customFormat="1" spans="1:25">
      <c r="A93" s="2">
        <v>115056728</v>
      </c>
      <c r="B93" s="2">
        <v>6</v>
      </c>
      <c r="C93" s="2">
        <v>39</v>
      </c>
      <c r="D93" s="2">
        <v>5</v>
      </c>
      <c r="E93" s="2">
        <v>40</v>
      </c>
      <c r="F93" s="2">
        <v>27</v>
      </c>
      <c r="G93" s="2">
        <v>37</v>
      </c>
      <c r="H93" s="3">
        <v>19</v>
      </c>
      <c r="I93" s="2" t="str">
        <f t="shared" si="7"/>
        <v>鼠</v>
      </c>
      <c r="J93" s="4">
        <f>IF(H93="","",IF(OR(AND(M93&lt;&gt;"",M93=IFERROR(INDEX($M$3:M92,MIN(IF(COUNTIF($M$3:M92,"0")=0,10^9,LOOKUP(2,1/($M$3:M92="0"),ROW($M$3:M92))),IF(COUNTIF($M$3:M92,"1")=0,10^9,LOOKUP(2,1/($M$3:M92="1"),ROW($M$3:M92))),IF(COUNTIF($M$3:M92,"2")=0,10^9,LOOKUP(2,1/($M$3:M92="2"),ROW($M$3:M92))),IF(COUNTIF($M$3:M92,"3")=0,10^9,LOOKUP(2,1/($M$3:M92="3"),ROW($M$3:M92))),IF(COUNTIF($M$3:M92,"4")=0,10^9,LOOKUP(2,1/($M$3:M92="4"),ROW($M$3:M92))),IF(COUNTIF($M$3:M92,"5")=0,10^9,LOOKUP(2,1/($M$3:M92="5"),ROW($M$3:M92))),IF(COUNTIF($M$3:M92,"6")=0,10^9,LOOKUP(2,1/($M$3:M92="6"),ROW($M$3:M92))),IF(COUNTIF($M$3:M92,"7")=0,10^9,LOOKUP(2,1/($M$3:M92="7"),ROW($M$3:M92))),IF(COUNTIF($M$3:M92,"8")=0,10^9,LOOKUP(2,1/($M$3:M92="8"),ROW($M$3:M92))),IF(COUNTIF($M$3:M92,"9")=0,10^9,LOOKUP(2,1/($M$3:M92="9"),ROW($M$3:M92))))-ROW($M$3)+1),"")),AND(N93&lt;&gt;"",N93=IFERROR(INDEX($N$3:N92,MIN(IF(COUNTIF($N$3:N92,"鼠")=0,10^9,LOOKUP(2,1/($N$3:N92="鼠"),ROW($N$3:N92))),IF(COUNTIF($N$3:N92,"牛")=0,10^9,LOOKUP(2,1/($N$3:N92="牛"),ROW($N$3:N92))),IF(COUNTIF($N$3:N92,"虎")=0,10^9,LOOKUP(2,1/($N$3:N92="虎"),ROW($N$3:N92))),IF(COUNTIF($N$3:N92,"兔")=0,10^9,LOOKUP(2,1/($N$3:N92="兔"),ROW($N$3:N92))),IF(COUNTIF($N$3:N92,"龙")=0,10^9,LOOKUP(2,1/($N$3:N92="龙"),ROW($N$3:N92))),IF(COUNTIF($N$3:N92,"蛇")=0,10^9,LOOKUP(2,1/($N$3:N92="蛇"),ROW($N$3:N92))),IF(COUNTIF($N$3:N92,"马")=0,10^9,LOOKUP(2,1/($N$3:N92="马"),ROW($N$3:N92))),IF(COUNTIF($N$3:N92,"羊")=0,10^9,LOOKUP(2,1/($N$3:N92="羊"),ROW($N$3:N92))),IF(COUNTIF($N$3:N92,"猴")=0,10^9,LOOKUP(2,1/($N$3:N92="猴"),ROW($N$3:N92))),IF(COUNTIF($N$3:N92,"鸡")=0,10^9,LOOKUP(2,1/($N$3:N92="鸡"),ROW($N$3:N92))),IF(COUNTIF($N$3:N92,"狗")=0,10^9,LOOKUP(2,1/($N$3:N92="狗"),ROW($N$3:N92))),IF(COUNTIF($N$3:N92,"猪")=0,10^9,LOOKUP(2,1/($N$3:N92="猪"),ROW($N$3:N92))))-ROW($N$3)+1),""))),0,IF(ISNUMBER(J92),J92+1,1)))</f>
        <v>2</v>
      </c>
      <c r="K93" s="5">
        <f t="shared" si="12"/>
        <v>20</v>
      </c>
      <c r="M93" s="6" t="str">
        <f t="shared" si="8"/>
        <v>9</v>
      </c>
      <c r="N93" s="2" t="str">
        <f t="shared" si="9"/>
        <v>鼠</v>
      </c>
      <c r="O93" s="7" t="str">
        <f>IF(M93="","",IF(COUNTIF(M94:$M$1000,M93)&gt;0,"",M93))</f>
        <v/>
      </c>
      <c r="P93" s="8" t="str">
        <f>IF(N93="","",IF(COUNTIF(N94:$N$1000,N93)&gt;0,"",N93))</f>
        <v/>
      </c>
      <c r="Q93" s="21">
        <f t="shared" si="10"/>
        <v>95</v>
      </c>
      <c r="R93" s="22" t="str">
        <f t="shared" si="11"/>
        <v>猴</v>
      </c>
      <c r="X93" s="2">
        <v>122</v>
      </c>
      <c r="Y93" s="2" t="s">
        <v>23</v>
      </c>
    </row>
    <row r="94" s="1" customFormat="1" spans="1:25">
      <c r="A94" s="2">
        <v>115056729</v>
      </c>
      <c r="B94" s="2">
        <v>43</v>
      </c>
      <c r="C94" s="2">
        <v>6</v>
      </c>
      <c r="D94" s="2">
        <v>15</v>
      </c>
      <c r="E94" s="2">
        <v>26</v>
      </c>
      <c r="F94" s="2">
        <v>14</v>
      </c>
      <c r="G94" s="2">
        <v>20</v>
      </c>
      <c r="H94" s="3">
        <v>46</v>
      </c>
      <c r="I94" s="2" t="str">
        <f t="shared" si="7"/>
        <v>鸡</v>
      </c>
      <c r="J94" s="4">
        <f>IF(H94="","",IF(OR(AND(M94&lt;&gt;"",M94=IFERROR(INDEX($M$3:M93,MIN(IF(COUNTIF($M$3:M93,"0")=0,10^9,LOOKUP(2,1/($M$3:M93="0"),ROW($M$3:M93))),IF(COUNTIF($M$3:M93,"1")=0,10^9,LOOKUP(2,1/($M$3:M93="1"),ROW($M$3:M93))),IF(COUNTIF($M$3:M93,"2")=0,10^9,LOOKUP(2,1/($M$3:M93="2"),ROW($M$3:M93))),IF(COUNTIF($M$3:M93,"3")=0,10^9,LOOKUP(2,1/($M$3:M93="3"),ROW($M$3:M93))),IF(COUNTIF($M$3:M93,"4")=0,10^9,LOOKUP(2,1/($M$3:M93="4"),ROW($M$3:M93))),IF(COUNTIF($M$3:M93,"5")=0,10^9,LOOKUP(2,1/($M$3:M93="5"),ROW($M$3:M93))),IF(COUNTIF($M$3:M93,"6")=0,10^9,LOOKUP(2,1/($M$3:M93="6"),ROW($M$3:M93))),IF(COUNTIF($M$3:M93,"7")=0,10^9,LOOKUP(2,1/($M$3:M93="7"),ROW($M$3:M93))),IF(COUNTIF($M$3:M93,"8")=0,10^9,LOOKUP(2,1/($M$3:M93="8"),ROW($M$3:M93))),IF(COUNTIF($M$3:M93,"9")=0,10^9,LOOKUP(2,1/($M$3:M93="9"),ROW($M$3:M93))))-ROW($M$3)+1),"")),AND(N94&lt;&gt;"",N94=IFERROR(INDEX($N$3:N93,MIN(IF(COUNTIF($N$3:N93,"鼠")=0,10^9,LOOKUP(2,1/($N$3:N93="鼠"),ROW($N$3:N93))),IF(COUNTIF($N$3:N93,"牛")=0,10^9,LOOKUP(2,1/($N$3:N93="牛"),ROW($N$3:N93))),IF(COUNTIF($N$3:N93,"虎")=0,10^9,LOOKUP(2,1/($N$3:N93="虎"),ROW($N$3:N93))),IF(COUNTIF($N$3:N93,"兔")=0,10^9,LOOKUP(2,1/($N$3:N93="兔"),ROW($N$3:N93))),IF(COUNTIF($N$3:N93,"龙")=0,10^9,LOOKUP(2,1/($N$3:N93="龙"),ROW($N$3:N93))),IF(COUNTIF($N$3:N93,"蛇")=0,10^9,LOOKUP(2,1/($N$3:N93="蛇"),ROW($N$3:N93))),IF(COUNTIF($N$3:N93,"马")=0,10^9,LOOKUP(2,1/($N$3:N93="马"),ROW($N$3:N93))),IF(COUNTIF($N$3:N93,"羊")=0,10^9,LOOKUP(2,1/($N$3:N93="羊"),ROW($N$3:N93))),IF(COUNTIF($N$3:N93,"猴")=0,10^9,LOOKUP(2,1/($N$3:N93="猴"),ROW($N$3:N93))),IF(COUNTIF($N$3:N93,"鸡")=0,10^9,LOOKUP(2,1/($N$3:N93="鸡"),ROW($N$3:N93))),IF(COUNTIF($N$3:N93,"狗")=0,10^9,LOOKUP(2,1/($N$3:N93="狗"),ROW($N$3:N93))),IF(COUNTIF($N$3:N93,"猪")=0,10^9,LOOKUP(2,1/($N$3:N93="猪"),ROW($N$3:N93))))-ROW($N$3)+1),""))),0,IF(ISNUMBER(J93),J93+1,1)))</f>
        <v>3</v>
      </c>
      <c r="K94" s="5">
        <f t="shared" si="12"/>
        <v>21</v>
      </c>
      <c r="M94" s="6" t="str">
        <f t="shared" si="8"/>
        <v>6</v>
      </c>
      <c r="N94" s="2" t="str">
        <f t="shared" si="9"/>
        <v>鸡</v>
      </c>
      <c r="O94" s="7" t="str">
        <f>IF(M94="","",IF(COUNTIF(M95:$M$1000,M94)&gt;0,"",M94))</f>
        <v/>
      </c>
      <c r="P94" s="8" t="str">
        <f>IF(N94="","",IF(COUNTIF(N95:$N$1000,N94)&gt;0,"",N94))</f>
        <v/>
      </c>
      <c r="Q94" s="21">
        <f t="shared" si="10"/>
        <v>89</v>
      </c>
      <c r="R94" s="22" t="str">
        <f t="shared" si="11"/>
        <v>虎</v>
      </c>
      <c r="X94" s="2">
        <v>61</v>
      </c>
      <c r="Y94" s="2" t="s">
        <v>24</v>
      </c>
    </row>
    <row r="95" s="1" customFormat="1" spans="1:25">
      <c r="A95" s="2">
        <v>115056730</v>
      </c>
      <c r="B95" s="2">
        <v>2</v>
      </c>
      <c r="C95" s="2">
        <v>4</v>
      </c>
      <c r="D95" s="2">
        <v>46</v>
      </c>
      <c r="E95" s="2">
        <v>1</v>
      </c>
      <c r="F95" s="2">
        <v>40</v>
      </c>
      <c r="G95" s="2">
        <v>16</v>
      </c>
      <c r="H95" s="3">
        <v>44</v>
      </c>
      <c r="I95" s="2" t="str">
        <f t="shared" si="7"/>
        <v>猪</v>
      </c>
      <c r="J95" s="4">
        <f>IF(H95="","",IF(OR(AND(M95&lt;&gt;"",M95=IFERROR(INDEX($M$3:M94,MIN(IF(COUNTIF($M$3:M94,"0")=0,10^9,LOOKUP(2,1/($M$3:M94="0"),ROW($M$3:M94))),IF(COUNTIF($M$3:M94,"1")=0,10^9,LOOKUP(2,1/($M$3:M94="1"),ROW($M$3:M94))),IF(COUNTIF($M$3:M94,"2")=0,10^9,LOOKUP(2,1/($M$3:M94="2"),ROW($M$3:M94))),IF(COUNTIF($M$3:M94,"3")=0,10^9,LOOKUP(2,1/($M$3:M94="3"),ROW($M$3:M94))),IF(COUNTIF($M$3:M94,"4")=0,10^9,LOOKUP(2,1/($M$3:M94="4"),ROW($M$3:M94))),IF(COUNTIF($M$3:M94,"5")=0,10^9,LOOKUP(2,1/($M$3:M94="5"),ROW($M$3:M94))),IF(COUNTIF($M$3:M94,"6")=0,10^9,LOOKUP(2,1/($M$3:M94="6"),ROW($M$3:M94))),IF(COUNTIF($M$3:M94,"7")=0,10^9,LOOKUP(2,1/($M$3:M94="7"),ROW($M$3:M94))),IF(COUNTIF($M$3:M94,"8")=0,10^9,LOOKUP(2,1/($M$3:M94="8"),ROW($M$3:M94))),IF(COUNTIF($M$3:M94,"9")=0,10^9,LOOKUP(2,1/($M$3:M94="9"),ROW($M$3:M94))))-ROW($M$3)+1),"")),AND(N95&lt;&gt;"",N95=IFERROR(INDEX($N$3:N94,MIN(IF(COUNTIF($N$3:N94,"鼠")=0,10^9,LOOKUP(2,1/($N$3:N94="鼠"),ROW($N$3:N94))),IF(COUNTIF($N$3:N94,"牛")=0,10^9,LOOKUP(2,1/($N$3:N94="牛"),ROW($N$3:N94))),IF(COUNTIF($N$3:N94,"虎")=0,10^9,LOOKUP(2,1/($N$3:N94="虎"),ROW($N$3:N94))),IF(COUNTIF($N$3:N94,"兔")=0,10^9,LOOKUP(2,1/($N$3:N94="兔"),ROW($N$3:N94))),IF(COUNTIF($N$3:N94,"龙")=0,10^9,LOOKUP(2,1/($N$3:N94="龙"),ROW($N$3:N94))),IF(COUNTIF($N$3:N94,"蛇")=0,10^9,LOOKUP(2,1/($N$3:N94="蛇"),ROW($N$3:N94))),IF(COUNTIF($N$3:N94,"马")=0,10^9,LOOKUP(2,1/($N$3:N94="马"),ROW($N$3:N94))),IF(COUNTIF($N$3:N94,"羊")=0,10^9,LOOKUP(2,1/($N$3:N94="羊"),ROW($N$3:N94))),IF(COUNTIF($N$3:N94,"猴")=0,10^9,LOOKUP(2,1/($N$3:N94="猴"),ROW($N$3:N94))),IF(COUNTIF($N$3:N94,"鸡")=0,10^9,LOOKUP(2,1/($N$3:N94="鸡"),ROW($N$3:N94))),IF(COUNTIF($N$3:N94,"狗")=0,10^9,LOOKUP(2,1/($N$3:N94="狗"),ROW($N$3:N94))),IF(COUNTIF($N$3:N94,"猪")=0,10^9,LOOKUP(2,1/($N$3:N94="猪"),ROW($N$3:N94))))-ROW($N$3)+1),""))),0,IF(ISNUMBER(J94),J94+1,1)))</f>
        <v>4</v>
      </c>
      <c r="K95" s="5">
        <f t="shared" si="12"/>
        <v>22</v>
      </c>
      <c r="M95" s="6" t="str">
        <f t="shared" si="8"/>
        <v>4</v>
      </c>
      <c r="N95" s="2" t="str">
        <f t="shared" si="9"/>
        <v>猪</v>
      </c>
      <c r="O95" s="7" t="str">
        <f>IF(M95="","",IF(COUNTIF(M96:$M$1000,M95)&gt;0,"",M95))</f>
        <v/>
      </c>
      <c r="P95" s="8" t="str">
        <f>IF(N95="","",IF(COUNTIF(N96:$N$1000,N95)&gt;0,"",N95))</f>
        <v/>
      </c>
      <c r="Q95" s="21">
        <f t="shared" si="10"/>
        <v>86</v>
      </c>
      <c r="R95" s="22" t="str">
        <f t="shared" si="11"/>
        <v>蛇</v>
      </c>
      <c r="X95" s="2">
        <v>73</v>
      </c>
      <c r="Y95" s="2" t="s">
        <v>24</v>
      </c>
    </row>
    <row r="96" s="1" customFormat="1" spans="1:25">
      <c r="A96" s="2">
        <v>115056731</v>
      </c>
      <c r="B96" s="2">
        <v>32</v>
      </c>
      <c r="C96" s="2">
        <v>22</v>
      </c>
      <c r="D96" s="2">
        <v>29</v>
      </c>
      <c r="E96" s="2">
        <v>42</v>
      </c>
      <c r="F96" s="2">
        <v>35</v>
      </c>
      <c r="G96" s="2">
        <v>38</v>
      </c>
      <c r="H96" s="3">
        <v>12</v>
      </c>
      <c r="I96" s="2" t="str">
        <f t="shared" si="7"/>
        <v>羊</v>
      </c>
      <c r="J96" s="4">
        <f>IF(H96="","",IF(OR(AND(M96&lt;&gt;"",M96=IFERROR(INDEX($M$3:M95,MIN(IF(COUNTIF($M$3:M95,"0")=0,10^9,LOOKUP(2,1/($M$3:M95="0"),ROW($M$3:M95))),IF(COUNTIF($M$3:M95,"1")=0,10^9,LOOKUP(2,1/($M$3:M95="1"),ROW($M$3:M95))),IF(COUNTIF($M$3:M95,"2")=0,10^9,LOOKUP(2,1/($M$3:M95="2"),ROW($M$3:M95))),IF(COUNTIF($M$3:M95,"3")=0,10^9,LOOKUP(2,1/($M$3:M95="3"),ROW($M$3:M95))),IF(COUNTIF($M$3:M95,"4")=0,10^9,LOOKUP(2,1/($M$3:M95="4"),ROW($M$3:M95))),IF(COUNTIF($M$3:M95,"5")=0,10^9,LOOKUP(2,1/($M$3:M95="5"),ROW($M$3:M95))),IF(COUNTIF($M$3:M95,"6")=0,10^9,LOOKUP(2,1/($M$3:M95="6"),ROW($M$3:M95))),IF(COUNTIF($M$3:M95,"7")=0,10^9,LOOKUP(2,1/($M$3:M95="7"),ROW($M$3:M95))),IF(COUNTIF($M$3:M95,"8")=0,10^9,LOOKUP(2,1/($M$3:M95="8"),ROW($M$3:M95))),IF(COUNTIF($M$3:M95,"9")=0,10^9,LOOKUP(2,1/($M$3:M95="9"),ROW($M$3:M95))))-ROW($M$3)+1),"")),AND(N96&lt;&gt;"",N96=IFERROR(INDEX($N$3:N95,MIN(IF(COUNTIF($N$3:N95,"鼠")=0,10^9,LOOKUP(2,1/($N$3:N95="鼠"),ROW($N$3:N95))),IF(COUNTIF($N$3:N95,"牛")=0,10^9,LOOKUP(2,1/($N$3:N95="牛"),ROW($N$3:N95))),IF(COUNTIF($N$3:N95,"虎")=0,10^9,LOOKUP(2,1/($N$3:N95="虎"),ROW($N$3:N95))),IF(COUNTIF($N$3:N95,"兔")=0,10^9,LOOKUP(2,1/($N$3:N95="兔"),ROW($N$3:N95))),IF(COUNTIF($N$3:N95,"龙")=0,10^9,LOOKUP(2,1/($N$3:N95="龙"),ROW($N$3:N95))),IF(COUNTIF($N$3:N95,"蛇")=0,10^9,LOOKUP(2,1/($N$3:N95="蛇"),ROW($N$3:N95))),IF(COUNTIF($N$3:N95,"马")=0,10^9,LOOKUP(2,1/($N$3:N95="马"),ROW($N$3:N95))),IF(COUNTIF($N$3:N95,"羊")=0,10^9,LOOKUP(2,1/($N$3:N95="羊"),ROW($N$3:N95))),IF(COUNTIF($N$3:N95,"猴")=0,10^9,LOOKUP(2,1/($N$3:N95="猴"),ROW($N$3:N95))),IF(COUNTIF($N$3:N95,"鸡")=0,10^9,LOOKUP(2,1/($N$3:N95="鸡"),ROW($N$3:N95))),IF(COUNTIF($N$3:N95,"狗")=0,10^9,LOOKUP(2,1/($N$3:N95="狗"),ROW($N$3:N95))),IF(COUNTIF($N$3:N95,"猪")=0,10^9,LOOKUP(2,1/($N$3:N95="猪"),ROW($N$3:N95))))-ROW($N$3)+1),""))),0,IF(ISNUMBER(J95),J95+1,1)))</f>
        <v>5</v>
      </c>
      <c r="K96" s="5">
        <f t="shared" si="12"/>
        <v>23</v>
      </c>
      <c r="M96" s="6" t="str">
        <f t="shared" si="8"/>
        <v>2</v>
      </c>
      <c r="N96" s="2" t="str">
        <f t="shared" si="9"/>
        <v>羊</v>
      </c>
      <c r="O96" s="7" t="str">
        <f>IF(M96="","",IF(COUNTIF(M97:$M$1000,M96)&gt;0,"",M96))</f>
        <v/>
      </c>
      <c r="P96" s="8" t="str">
        <f>IF(N96="","",IF(COUNTIF(N97:$N$1000,N96)&gt;0,"",N96))</f>
        <v/>
      </c>
      <c r="Q96" s="21">
        <f t="shared" si="10"/>
        <v>96</v>
      </c>
      <c r="R96" s="22" t="str">
        <f t="shared" si="11"/>
        <v>羊</v>
      </c>
      <c r="X96" s="2">
        <v>85</v>
      </c>
      <c r="Y96" s="2" t="s">
        <v>24</v>
      </c>
    </row>
    <row r="97" s="1" customFormat="1" spans="1:25">
      <c r="A97" s="2">
        <v>115056732</v>
      </c>
      <c r="B97" s="2">
        <v>30</v>
      </c>
      <c r="C97" s="2">
        <v>16</v>
      </c>
      <c r="D97" s="2">
        <v>17</v>
      </c>
      <c r="E97" s="2">
        <v>11</v>
      </c>
      <c r="F97" s="2">
        <v>46</v>
      </c>
      <c r="G97" s="2">
        <v>7</v>
      </c>
      <c r="H97" s="3">
        <v>45</v>
      </c>
      <c r="I97" s="2" t="str">
        <f t="shared" si="7"/>
        <v>狗</v>
      </c>
      <c r="J97" s="4">
        <f>IF(H97="","",IF(OR(AND(M97&lt;&gt;"",M97=IFERROR(INDEX($M$3:M96,MIN(IF(COUNTIF($M$3:M96,"0")=0,10^9,LOOKUP(2,1/($M$3:M96="0"),ROW($M$3:M96))),IF(COUNTIF($M$3:M96,"1")=0,10^9,LOOKUP(2,1/($M$3:M96="1"),ROW($M$3:M96))),IF(COUNTIF($M$3:M96,"2")=0,10^9,LOOKUP(2,1/($M$3:M96="2"),ROW($M$3:M96))),IF(COUNTIF($M$3:M96,"3")=0,10^9,LOOKUP(2,1/($M$3:M96="3"),ROW($M$3:M96))),IF(COUNTIF($M$3:M96,"4")=0,10^9,LOOKUP(2,1/($M$3:M96="4"),ROW($M$3:M96))),IF(COUNTIF($M$3:M96,"5")=0,10^9,LOOKUP(2,1/($M$3:M96="5"),ROW($M$3:M96))),IF(COUNTIF($M$3:M96,"6")=0,10^9,LOOKUP(2,1/($M$3:M96="6"),ROW($M$3:M96))),IF(COUNTIF($M$3:M96,"7")=0,10^9,LOOKUP(2,1/($M$3:M96="7"),ROW($M$3:M96))),IF(COUNTIF($M$3:M96,"8")=0,10^9,LOOKUP(2,1/($M$3:M96="8"),ROW($M$3:M96))),IF(COUNTIF($M$3:M96,"9")=0,10^9,LOOKUP(2,1/($M$3:M96="9"),ROW($M$3:M96))))-ROW($M$3)+1),"")),AND(N97&lt;&gt;"",N97=IFERROR(INDEX($N$3:N96,MIN(IF(COUNTIF($N$3:N96,"鼠")=0,10^9,LOOKUP(2,1/($N$3:N96="鼠"),ROW($N$3:N96))),IF(COUNTIF($N$3:N96,"牛")=0,10^9,LOOKUP(2,1/($N$3:N96="牛"),ROW($N$3:N96))),IF(COUNTIF($N$3:N96,"虎")=0,10^9,LOOKUP(2,1/($N$3:N96="虎"),ROW($N$3:N96))),IF(COUNTIF($N$3:N96,"兔")=0,10^9,LOOKUP(2,1/($N$3:N96="兔"),ROW($N$3:N96))),IF(COUNTIF($N$3:N96,"龙")=0,10^9,LOOKUP(2,1/($N$3:N96="龙"),ROW($N$3:N96))),IF(COUNTIF($N$3:N96,"蛇")=0,10^9,LOOKUP(2,1/($N$3:N96="蛇"),ROW($N$3:N96))),IF(COUNTIF($N$3:N96,"马")=0,10^9,LOOKUP(2,1/($N$3:N96="马"),ROW($N$3:N96))),IF(COUNTIF($N$3:N96,"羊")=0,10^9,LOOKUP(2,1/($N$3:N96="羊"),ROW($N$3:N96))),IF(COUNTIF($N$3:N96,"猴")=0,10^9,LOOKUP(2,1/($N$3:N96="猴"),ROW($N$3:N96))),IF(COUNTIF($N$3:N96,"鸡")=0,10^9,LOOKUP(2,1/($N$3:N96="鸡"),ROW($N$3:N96))),IF(COUNTIF($N$3:N96,"狗")=0,10^9,LOOKUP(2,1/($N$3:N96="狗"),ROW($N$3:N96))),IF(COUNTIF($N$3:N96,"猪")=0,10^9,LOOKUP(2,1/($N$3:N96="猪"),ROW($N$3:N96))))-ROW($N$3)+1),""))),0,IF(ISNUMBER(J96),J96+1,1)))</f>
        <v>6</v>
      </c>
      <c r="K97" s="5">
        <f t="shared" si="12"/>
        <v>24</v>
      </c>
      <c r="M97" s="6" t="str">
        <f t="shared" si="8"/>
        <v>5</v>
      </c>
      <c r="N97" s="2" t="str">
        <f t="shared" si="9"/>
        <v>狗</v>
      </c>
      <c r="O97" s="7" t="str">
        <f>IF(M97="","",IF(COUNTIF(M98:$M$1000,M97)&gt;0,"",M97))</f>
        <v/>
      </c>
      <c r="P97" s="8" t="str">
        <f>IF(N97="","",IF(COUNTIF(N98:$N$1000,N97)&gt;0,"",N97))</f>
        <v/>
      </c>
      <c r="Q97" s="21">
        <f t="shared" si="10"/>
        <v>86</v>
      </c>
      <c r="R97" s="22" t="str">
        <f t="shared" si="11"/>
        <v>蛇</v>
      </c>
      <c r="X97" s="2">
        <v>97</v>
      </c>
      <c r="Y97" s="2" t="s">
        <v>24</v>
      </c>
    </row>
    <row r="98" s="1" customFormat="1" spans="1:25">
      <c r="A98" s="2">
        <v>115056733</v>
      </c>
      <c r="B98" s="2">
        <v>9</v>
      </c>
      <c r="C98" s="2">
        <v>12</v>
      </c>
      <c r="D98" s="2">
        <v>25</v>
      </c>
      <c r="E98" s="2">
        <v>38</v>
      </c>
      <c r="F98" s="2">
        <v>37</v>
      </c>
      <c r="G98" s="2">
        <v>11</v>
      </c>
      <c r="H98" s="3">
        <v>49</v>
      </c>
      <c r="I98" s="2" t="str">
        <f t="shared" si="7"/>
        <v>马</v>
      </c>
      <c r="J98" s="4">
        <f>IF(H98="","",IF(OR(AND(M98&lt;&gt;"",M98=IFERROR(INDEX($M$3:M97,MIN(IF(COUNTIF($M$3:M97,"0")=0,10^9,LOOKUP(2,1/($M$3:M97="0"),ROW($M$3:M97))),IF(COUNTIF($M$3:M97,"1")=0,10^9,LOOKUP(2,1/($M$3:M97="1"),ROW($M$3:M97))),IF(COUNTIF($M$3:M97,"2")=0,10^9,LOOKUP(2,1/($M$3:M97="2"),ROW($M$3:M97))),IF(COUNTIF($M$3:M97,"3")=0,10^9,LOOKUP(2,1/($M$3:M97="3"),ROW($M$3:M97))),IF(COUNTIF($M$3:M97,"4")=0,10^9,LOOKUP(2,1/($M$3:M97="4"),ROW($M$3:M97))),IF(COUNTIF($M$3:M97,"5")=0,10^9,LOOKUP(2,1/($M$3:M97="5"),ROW($M$3:M97))),IF(COUNTIF($M$3:M97,"6")=0,10^9,LOOKUP(2,1/($M$3:M97="6"),ROW($M$3:M97))),IF(COUNTIF($M$3:M97,"7")=0,10^9,LOOKUP(2,1/($M$3:M97="7"),ROW($M$3:M97))),IF(COUNTIF($M$3:M97,"8")=0,10^9,LOOKUP(2,1/($M$3:M97="8"),ROW($M$3:M97))),IF(COUNTIF($M$3:M97,"9")=0,10^9,LOOKUP(2,1/($M$3:M97="9"),ROW($M$3:M97))))-ROW($M$3)+1),"")),AND(N98&lt;&gt;"",N98=IFERROR(INDEX($N$3:N97,MIN(IF(COUNTIF($N$3:N97,"鼠")=0,10^9,LOOKUP(2,1/($N$3:N97="鼠"),ROW($N$3:N97))),IF(COUNTIF($N$3:N97,"牛")=0,10^9,LOOKUP(2,1/($N$3:N97="牛"),ROW($N$3:N97))),IF(COUNTIF($N$3:N97,"虎")=0,10^9,LOOKUP(2,1/($N$3:N97="虎"),ROW($N$3:N97))),IF(COUNTIF($N$3:N97,"兔")=0,10^9,LOOKUP(2,1/($N$3:N97="兔"),ROW($N$3:N97))),IF(COUNTIF($N$3:N97,"龙")=0,10^9,LOOKUP(2,1/($N$3:N97="龙"),ROW($N$3:N97))),IF(COUNTIF($N$3:N97,"蛇")=0,10^9,LOOKUP(2,1/($N$3:N97="蛇"),ROW($N$3:N97))),IF(COUNTIF($N$3:N97,"马")=0,10^9,LOOKUP(2,1/($N$3:N97="马"),ROW($N$3:N97))),IF(COUNTIF($N$3:N97,"羊")=0,10^9,LOOKUP(2,1/($N$3:N97="羊"),ROW($N$3:N97))),IF(COUNTIF($N$3:N97,"猴")=0,10^9,LOOKUP(2,1/($N$3:N97="猴"),ROW($N$3:N97))),IF(COUNTIF($N$3:N97,"鸡")=0,10^9,LOOKUP(2,1/($N$3:N97="鸡"),ROW($N$3:N97))),IF(COUNTIF($N$3:N97,"狗")=0,10^9,LOOKUP(2,1/($N$3:N97="狗"),ROW($N$3:N97))),IF(COUNTIF($N$3:N97,"猪")=0,10^9,LOOKUP(2,1/($N$3:N97="猪"),ROW($N$3:N97))))-ROW($N$3)+1),""))),0,IF(ISNUMBER(J97),J97+1,1)))</f>
        <v>7</v>
      </c>
      <c r="K98" s="5">
        <f t="shared" si="12"/>
        <v>25</v>
      </c>
      <c r="M98" s="6" t="str">
        <f t="shared" si="8"/>
        <v>9</v>
      </c>
      <c r="N98" s="2" t="str">
        <f t="shared" si="9"/>
        <v>马</v>
      </c>
      <c r="O98" s="7" t="str">
        <f>IF(M98="","",IF(COUNTIF(M99:$M$1000,M98)&gt;0,"",M98))</f>
        <v/>
      </c>
      <c r="P98" s="8" t="str">
        <f>IF(N98="","",IF(COUNTIF(N99:$N$1000,N98)&gt;0,"",N98))</f>
        <v>马</v>
      </c>
      <c r="Q98" s="21">
        <f t="shared" si="10"/>
        <v>85</v>
      </c>
      <c r="R98" s="22" t="str">
        <f t="shared" si="11"/>
        <v>马</v>
      </c>
      <c r="X98" s="2">
        <v>109</v>
      </c>
      <c r="Y98" s="2" t="s">
        <v>24</v>
      </c>
    </row>
    <row r="99" s="1" customFormat="1" spans="1:25">
      <c r="A99" s="2">
        <v>115056734</v>
      </c>
      <c r="B99" s="2">
        <v>11</v>
      </c>
      <c r="C99" s="2">
        <v>10</v>
      </c>
      <c r="D99" s="2">
        <v>23</v>
      </c>
      <c r="E99" s="2">
        <v>36</v>
      </c>
      <c r="F99" s="2">
        <v>13</v>
      </c>
      <c r="G99" s="2">
        <v>40</v>
      </c>
      <c r="H99" s="3">
        <v>7</v>
      </c>
      <c r="I99" s="2" t="str">
        <f t="shared" si="7"/>
        <v>鼠</v>
      </c>
      <c r="J99" s="4">
        <f>IF(H99="","",IF(OR(AND(M99&lt;&gt;"",M99=IFERROR(INDEX($M$3:M98,MIN(IF(COUNTIF($M$3:M98,"0")=0,10^9,LOOKUP(2,1/($M$3:M98="0"),ROW($M$3:M98))),IF(COUNTIF($M$3:M98,"1")=0,10^9,LOOKUP(2,1/($M$3:M98="1"),ROW($M$3:M98))),IF(COUNTIF($M$3:M98,"2")=0,10^9,LOOKUP(2,1/($M$3:M98="2"),ROW($M$3:M98))),IF(COUNTIF($M$3:M98,"3")=0,10^9,LOOKUP(2,1/($M$3:M98="3"),ROW($M$3:M98))),IF(COUNTIF($M$3:M98,"4")=0,10^9,LOOKUP(2,1/($M$3:M98="4"),ROW($M$3:M98))),IF(COUNTIF($M$3:M98,"5")=0,10^9,LOOKUP(2,1/($M$3:M98="5"),ROW($M$3:M98))),IF(COUNTIF($M$3:M98,"6")=0,10^9,LOOKUP(2,1/($M$3:M98="6"),ROW($M$3:M98))),IF(COUNTIF($M$3:M98,"7")=0,10^9,LOOKUP(2,1/($M$3:M98="7"),ROW($M$3:M98))),IF(COUNTIF($M$3:M98,"8")=0,10^9,LOOKUP(2,1/($M$3:M98="8"),ROW($M$3:M98))),IF(COUNTIF($M$3:M98,"9")=0,10^9,LOOKUP(2,1/($M$3:M98="9"),ROW($M$3:M98))))-ROW($M$3)+1),"")),AND(N99&lt;&gt;"",N99=IFERROR(INDEX($N$3:N98,MIN(IF(COUNTIF($N$3:N98,"鼠")=0,10^9,LOOKUP(2,1/($N$3:N98="鼠"),ROW($N$3:N98))),IF(COUNTIF($N$3:N98,"牛")=0,10^9,LOOKUP(2,1/($N$3:N98="牛"),ROW($N$3:N98))),IF(COUNTIF($N$3:N98,"虎")=0,10^9,LOOKUP(2,1/($N$3:N98="虎"),ROW($N$3:N98))),IF(COUNTIF($N$3:N98,"兔")=0,10^9,LOOKUP(2,1/($N$3:N98="兔"),ROW($N$3:N98))),IF(COUNTIF($N$3:N98,"龙")=0,10^9,LOOKUP(2,1/($N$3:N98="龙"),ROW($N$3:N98))),IF(COUNTIF($N$3:N98,"蛇")=0,10^9,LOOKUP(2,1/($N$3:N98="蛇"),ROW($N$3:N98))),IF(COUNTIF($N$3:N98,"马")=0,10^9,LOOKUP(2,1/($N$3:N98="马"),ROW($N$3:N98))),IF(COUNTIF($N$3:N98,"羊")=0,10^9,LOOKUP(2,1/($N$3:N98="羊"),ROW($N$3:N98))),IF(COUNTIF($N$3:N98,"猴")=0,10^9,LOOKUP(2,1/($N$3:N98="猴"),ROW($N$3:N98))),IF(COUNTIF($N$3:N98,"鸡")=0,10^9,LOOKUP(2,1/($N$3:N98="鸡"),ROW($N$3:N98))),IF(COUNTIF($N$3:N98,"狗")=0,10^9,LOOKUP(2,1/($N$3:N98="狗"),ROW($N$3:N98))),IF(COUNTIF($N$3:N98,"猪")=0,10^9,LOOKUP(2,1/($N$3:N98="猪"),ROW($N$3:N98))))-ROW($N$3)+1),""))),0,IF(ISNUMBER(J98),J98+1,1)))</f>
        <v>8</v>
      </c>
      <c r="K99" s="5">
        <f t="shared" si="12"/>
        <v>26</v>
      </c>
      <c r="M99" s="6" t="str">
        <f t="shared" si="8"/>
        <v>7</v>
      </c>
      <c r="N99" s="2" t="str">
        <f t="shared" si="9"/>
        <v>鼠</v>
      </c>
      <c r="O99" s="7" t="str">
        <f>IF(M99="","",IF(COUNTIF(M100:$M$1000,M99)&gt;0,"",M99))</f>
        <v/>
      </c>
      <c r="P99" s="8" t="str">
        <f>IF(N99="","",IF(COUNTIF(N100:$N$1000,N99)&gt;0,"",N99))</f>
        <v/>
      </c>
      <c r="Q99" s="21">
        <f t="shared" si="10"/>
        <v>87</v>
      </c>
      <c r="R99" s="22" t="str">
        <f t="shared" si="11"/>
        <v>龙</v>
      </c>
      <c r="X99" s="2">
        <v>121</v>
      </c>
      <c r="Y99" s="2" t="s">
        <v>24</v>
      </c>
    </row>
    <row r="100" s="1" customFormat="1" spans="1:25">
      <c r="A100" s="2">
        <v>115056735</v>
      </c>
      <c r="B100" s="2">
        <v>24</v>
      </c>
      <c r="C100" s="2">
        <v>43</v>
      </c>
      <c r="D100" s="2">
        <v>16</v>
      </c>
      <c r="E100" s="2">
        <v>33</v>
      </c>
      <c r="F100" s="2">
        <v>38</v>
      </c>
      <c r="G100" s="2">
        <v>23</v>
      </c>
      <c r="H100" s="3">
        <v>14</v>
      </c>
      <c r="I100" s="2" t="str">
        <f t="shared" si="7"/>
        <v>蛇</v>
      </c>
      <c r="J100" s="4">
        <f>IF(H100="","",IF(OR(AND(M100&lt;&gt;"",M100=IFERROR(INDEX($M$3:M99,MIN(IF(COUNTIF($M$3:M99,"0")=0,10^9,LOOKUP(2,1/($M$3:M99="0"),ROW($M$3:M99))),IF(COUNTIF($M$3:M99,"1")=0,10^9,LOOKUP(2,1/($M$3:M99="1"),ROW($M$3:M99))),IF(COUNTIF($M$3:M99,"2")=0,10^9,LOOKUP(2,1/($M$3:M99="2"),ROW($M$3:M99))),IF(COUNTIF($M$3:M99,"3")=0,10^9,LOOKUP(2,1/($M$3:M99="3"),ROW($M$3:M99))),IF(COUNTIF($M$3:M99,"4")=0,10^9,LOOKUP(2,1/($M$3:M99="4"),ROW($M$3:M99))),IF(COUNTIF($M$3:M99,"5")=0,10^9,LOOKUP(2,1/($M$3:M99="5"),ROW($M$3:M99))),IF(COUNTIF($M$3:M99,"6")=0,10^9,LOOKUP(2,1/($M$3:M99="6"),ROW($M$3:M99))),IF(COUNTIF($M$3:M99,"7")=0,10^9,LOOKUP(2,1/($M$3:M99="7"),ROW($M$3:M99))),IF(COUNTIF($M$3:M99,"8")=0,10^9,LOOKUP(2,1/($M$3:M99="8"),ROW($M$3:M99))),IF(COUNTIF($M$3:M99,"9")=0,10^9,LOOKUP(2,1/($M$3:M99="9"),ROW($M$3:M99))))-ROW($M$3)+1),"")),AND(N100&lt;&gt;"",N100=IFERROR(INDEX($N$3:N99,MIN(IF(COUNTIF($N$3:N99,"鼠")=0,10^9,LOOKUP(2,1/($N$3:N99="鼠"),ROW($N$3:N99))),IF(COUNTIF($N$3:N99,"牛")=0,10^9,LOOKUP(2,1/($N$3:N99="牛"),ROW($N$3:N99))),IF(COUNTIF($N$3:N99,"虎")=0,10^9,LOOKUP(2,1/($N$3:N99="虎"),ROW($N$3:N99))),IF(COUNTIF($N$3:N99,"兔")=0,10^9,LOOKUP(2,1/($N$3:N99="兔"),ROW($N$3:N99))),IF(COUNTIF($N$3:N99,"龙")=0,10^9,LOOKUP(2,1/($N$3:N99="龙"),ROW($N$3:N99))),IF(COUNTIF($N$3:N99,"蛇")=0,10^9,LOOKUP(2,1/($N$3:N99="蛇"),ROW($N$3:N99))),IF(COUNTIF($N$3:N99,"马")=0,10^9,LOOKUP(2,1/($N$3:N99="马"),ROW($N$3:N99))),IF(COUNTIF($N$3:N99,"羊")=0,10^9,LOOKUP(2,1/($N$3:N99="羊"),ROW($N$3:N99))),IF(COUNTIF($N$3:N99,"猴")=0,10^9,LOOKUP(2,1/($N$3:N99="猴"),ROW($N$3:N99))),IF(COUNTIF($N$3:N99,"鸡")=0,10^9,LOOKUP(2,1/($N$3:N99="鸡"),ROW($N$3:N99))),IF(COUNTIF($N$3:N99,"狗")=0,10^9,LOOKUP(2,1/($N$3:N99="狗"),ROW($N$3:N99))),IF(COUNTIF($N$3:N99,"猪")=0,10^9,LOOKUP(2,1/($N$3:N99="猪"),ROW($N$3:N99))))-ROW($N$3)+1),""))),0,IF(ISNUMBER(J99),J99+1,1)))</f>
        <v>9</v>
      </c>
      <c r="K100" s="5">
        <f t="shared" si="12"/>
        <v>27</v>
      </c>
      <c r="M100" s="6" t="str">
        <f t="shared" si="8"/>
        <v>4</v>
      </c>
      <c r="N100" s="2" t="str">
        <f t="shared" si="9"/>
        <v>蛇</v>
      </c>
      <c r="O100" s="7" t="str">
        <f>IF(M100="","",IF(COUNTIF(M101:$M$1000,M100)&gt;0,"",M100))</f>
        <v/>
      </c>
      <c r="P100" s="8" t="str">
        <f>IF(N100="","",IF(COUNTIF(N101:$N$1000,N100)&gt;0,"",N100))</f>
        <v/>
      </c>
      <c r="Q100" s="21">
        <f t="shared" si="10"/>
        <v>96</v>
      </c>
      <c r="R100" s="22" t="str">
        <f t="shared" si="11"/>
        <v>羊</v>
      </c>
      <c r="X100" s="2">
        <v>60</v>
      </c>
      <c r="Y100" s="2" t="s">
        <v>25</v>
      </c>
    </row>
    <row r="101" s="1" customFormat="1" spans="1:25">
      <c r="A101" s="2">
        <v>115056736</v>
      </c>
      <c r="B101" s="2">
        <v>36</v>
      </c>
      <c r="C101" s="2">
        <v>25</v>
      </c>
      <c r="D101" s="2">
        <v>27</v>
      </c>
      <c r="E101" s="2">
        <v>6</v>
      </c>
      <c r="F101" s="2">
        <v>15</v>
      </c>
      <c r="G101" s="2">
        <v>1</v>
      </c>
      <c r="H101" s="3">
        <v>23</v>
      </c>
      <c r="I101" s="2" t="str">
        <f t="shared" si="7"/>
        <v>猴</v>
      </c>
      <c r="J101" s="4">
        <f>IF(H101="","",IF(OR(AND(M101&lt;&gt;"",M101=IFERROR(INDEX($M$3:M100,MIN(IF(COUNTIF($M$3:M100,"0")=0,10^9,LOOKUP(2,1/($M$3:M100="0"),ROW($M$3:M100))),IF(COUNTIF($M$3:M100,"1")=0,10^9,LOOKUP(2,1/($M$3:M100="1"),ROW($M$3:M100))),IF(COUNTIF($M$3:M100,"2")=0,10^9,LOOKUP(2,1/($M$3:M100="2"),ROW($M$3:M100))),IF(COUNTIF($M$3:M100,"3")=0,10^9,LOOKUP(2,1/($M$3:M100="3"),ROW($M$3:M100))),IF(COUNTIF($M$3:M100,"4")=0,10^9,LOOKUP(2,1/($M$3:M100="4"),ROW($M$3:M100))),IF(COUNTIF($M$3:M100,"5")=0,10^9,LOOKUP(2,1/($M$3:M100="5"),ROW($M$3:M100))),IF(COUNTIF($M$3:M100,"6")=0,10^9,LOOKUP(2,1/($M$3:M100="6"),ROW($M$3:M100))),IF(COUNTIF($M$3:M100,"7")=0,10^9,LOOKUP(2,1/($M$3:M100="7"),ROW($M$3:M100))),IF(COUNTIF($M$3:M100,"8")=0,10^9,LOOKUP(2,1/($M$3:M100="8"),ROW($M$3:M100))),IF(COUNTIF($M$3:M100,"9")=0,10^9,LOOKUP(2,1/($M$3:M100="9"),ROW($M$3:M100))))-ROW($M$3)+1),"")),AND(N101&lt;&gt;"",N101=IFERROR(INDEX($N$3:N100,MIN(IF(COUNTIF($N$3:N100,"鼠")=0,10^9,LOOKUP(2,1/($N$3:N100="鼠"),ROW($N$3:N100))),IF(COUNTIF($N$3:N100,"牛")=0,10^9,LOOKUP(2,1/($N$3:N100="牛"),ROW($N$3:N100))),IF(COUNTIF($N$3:N100,"虎")=0,10^9,LOOKUP(2,1/($N$3:N100="虎"),ROW($N$3:N100))),IF(COUNTIF($N$3:N100,"兔")=0,10^9,LOOKUP(2,1/($N$3:N100="兔"),ROW($N$3:N100))),IF(COUNTIF($N$3:N100,"龙")=0,10^9,LOOKUP(2,1/($N$3:N100="龙"),ROW($N$3:N100))),IF(COUNTIF($N$3:N100,"蛇")=0,10^9,LOOKUP(2,1/($N$3:N100="蛇"),ROW($N$3:N100))),IF(COUNTIF($N$3:N100,"马")=0,10^9,LOOKUP(2,1/($N$3:N100="马"),ROW($N$3:N100))),IF(COUNTIF($N$3:N100,"羊")=0,10^9,LOOKUP(2,1/($N$3:N100="羊"),ROW($N$3:N100))),IF(COUNTIF($N$3:N100,"猴")=0,10^9,LOOKUP(2,1/($N$3:N100="猴"),ROW($N$3:N100))),IF(COUNTIF($N$3:N100,"鸡")=0,10^9,LOOKUP(2,1/($N$3:N100="鸡"),ROW($N$3:N100))),IF(COUNTIF($N$3:N100,"狗")=0,10^9,LOOKUP(2,1/($N$3:N100="狗"),ROW($N$3:N100))),IF(COUNTIF($N$3:N100,"猪")=0,10^9,LOOKUP(2,1/($N$3:N100="猪"),ROW($N$3:N100))))-ROW($N$3)+1),""))),0,IF(ISNUMBER(J100),J100+1,1)))</f>
        <v>10</v>
      </c>
      <c r="K101" s="5">
        <f t="shared" si="12"/>
        <v>28</v>
      </c>
      <c r="M101" s="6" t="str">
        <f t="shared" si="8"/>
        <v>3</v>
      </c>
      <c r="N101" s="2" t="str">
        <f t="shared" si="9"/>
        <v>猴</v>
      </c>
      <c r="O101" s="7" t="str">
        <f>IF(M101="","",IF(COUNTIF(M102:$M$1000,M101)&gt;0,"",M101))</f>
        <v/>
      </c>
      <c r="P101" s="8" t="str">
        <f>IF(N101="","",IF(COUNTIF(N102:$N$1000,N101)&gt;0,"",N101))</f>
        <v/>
      </c>
      <c r="Q101" s="21">
        <f t="shared" si="10"/>
        <v>90</v>
      </c>
      <c r="R101" s="22" t="str">
        <f t="shared" si="11"/>
        <v>牛</v>
      </c>
      <c r="X101" s="2">
        <v>72</v>
      </c>
      <c r="Y101" s="2" t="s">
        <v>25</v>
      </c>
    </row>
    <row r="102" s="1" customFormat="1" spans="1:25">
      <c r="A102" s="2">
        <v>115056737</v>
      </c>
      <c r="B102" s="2">
        <v>2</v>
      </c>
      <c r="C102" s="2">
        <v>6</v>
      </c>
      <c r="D102" s="2">
        <v>17</v>
      </c>
      <c r="E102" s="2">
        <v>38</v>
      </c>
      <c r="F102" s="2">
        <v>7</v>
      </c>
      <c r="G102" s="2">
        <v>21</v>
      </c>
      <c r="H102" s="3">
        <v>3</v>
      </c>
      <c r="I102" s="2" t="str">
        <f t="shared" si="7"/>
        <v>龙</v>
      </c>
      <c r="J102" s="4">
        <f>IF(H102="","",IF(OR(AND(M102&lt;&gt;"",M102=IFERROR(INDEX($M$3:M101,MIN(IF(COUNTIF($M$3:M101,"0")=0,10^9,LOOKUP(2,1/($M$3:M101="0"),ROW($M$3:M101))),IF(COUNTIF($M$3:M101,"1")=0,10^9,LOOKUP(2,1/($M$3:M101="1"),ROW($M$3:M101))),IF(COUNTIF($M$3:M101,"2")=0,10^9,LOOKUP(2,1/($M$3:M101="2"),ROW($M$3:M101))),IF(COUNTIF($M$3:M101,"3")=0,10^9,LOOKUP(2,1/($M$3:M101="3"),ROW($M$3:M101))),IF(COUNTIF($M$3:M101,"4")=0,10^9,LOOKUP(2,1/($M$3:M101="4"),ROW($M$3:M101))),IF(COUNTIF($M$3:M101,"5")=0,10^9,LOOKUP(2,1/($M$3:M101="5"),ROW($M$3:M101))),IF(COUNTIF($M$3:M101,"6")=0,10^9,LOOKUP(2,1/($M$3:M101="6"),ROW($M$3:M101))),IF(COUNTIF($M$3:M101,"7")=0,10^9,LOOKUP(2,1/($M$3:M101="7"),ROW($M$3:M101))),IF(COUNTIF($M$3:M101,"8")=0,10^9,LOOKUP(2,1/($M$3:M101="8"),ROW($M$3:M101))),IF(COUNTIF($M$3:M101,"9")=0,10^9,LOOKUP(2,1/($M$3:M101="9"),ROW($M$3:M101))))-ROW($M$3)+1),"")),AND(N102&lt;&gt;"",N102=IFERROR(INDEX($N$3:N101,MIN(IF(COUNTIF($N$3:N101,"鼠")=0,10^9,LOOKUP(2,1/($N$3:N101="鼠"),ROW($N$3:N101))),IF(COUNTIF($N$3:N101,"牛")=0,10^9,LOOKUP(2,1/($N$3:N101="牛"),ROW($N$3:N101))),IF(COUNTIF($N$3:N101,"虎")=0,10^9,LOOKUP(2,1/($N$3:N101="虎"),ROW($N$3:N101))),IF(COUNTIF($N$3:N101,"兔")=0,10^9,LOOKUP(2,1/($N$3:N101="兔"),ROW($N$3:N101))),IF(COUNTIF($N$3:N101,"龙")=0,10^9,LOOKUP(2,1/($N$3:N101="龙"),ROW($N$3:N101))),IF(COUNTIF($N$3:N101,"蛇")=0,10^9,LOOKUP(2,1/($N$3:N101="蛇"),ROW($N$3:N101))),IF(COUNTIF($N$3:N101,"马")=0,10^9,LOOKUP(2,1/($N$3:N101="马"),ROW($N$3:N101))),IF(COUNTIF($N$3:N101,"羊")=0,10^9,LOOKUP(2,1/($N$3:N101="羊"),ROW($N$3:N101))),IF(COUNTIF($N$3:N101,"猴")=0,10^9,LOOKUP(2,1/($N$3:N101="猴"),ROW($N$3:N101))),IF(COUNTIF($N$3:N101,"鸡")=0,10^9,LOOKUP(2,1/($N$3:N101="鸡"),ROW($N$3:N101))),IF(COUNTIF($N$3:N101,"狗")=0,10^9,LOOKUP(2,1/($N$3:N101="狗"),ROW($N$3:N101))),IF(COUNTIF($N$3:N101,"猪")=0,10^9,LOOKUP(2,1/($N$3:N101="猪"),ROW($N$3:N101))))-ROW($N$3)+1),""))),0,IF(ISNUMBER(J101),J101+1,1)))</f>
        <v>11</v>
      </c>
      <c r="K102" s="5">
        <f t="shared" si="12"/>
        <v>29</v>
      </c>
      <c r="M102" s="6" t="str">
        <f t="shared" si="8"/>
        <v>3</v>
      </c>
      <c r="N102" s="2" t="str">
        <f t="shared" si="9"/>
        <v>龙</v>
      </c>
      <c r="O102" s="7" t="str">
        <f>IF(M102="","",IF(COUNTIF(M103:$M$1000,M102)&gt;0,"",M102))</f>
        <v/>
      </c>
      <c r="P102" s="8" t="str">
        <f>IF(N102="","",IF(COUNTIF(N103:$N$1000,N102)&gt;0,"",N102))</f>
        <v>龙</v>
      </c>
      <c r="Q102" s="21">
        <f t="shared" si="10"/>
        <v>79</v>
      </c>
      <c r="R102" s="22" t="str">
        <f t="shared" si="11"/>
        <v>鼠</v>
      </c>
      <c r="X102" s="2">
        <v>84</v>
      </c>
      <c r="Y102" s="2" t="s">
        <v>25</v>
      </c>
    </row>
    <row r="103" s="1" customFormat="1" spans="1:25">
      <c r="A103" s="2">
        <v>115056738</v>
      </c>
      <c r="B103" s="2">
        <v>3</v>
      </c>
      <c r="C103" s="2">
        <v>46</v>
      </c>
      <c r="D103" s="2">
        <v>27</v>
      </c>
      <c r="E103" s="2">
        <v>43</v>
      </c>
      <c r="F103" s="2">
        <v>34</v>
      </c>
      <c r="G103" s="2">
        <v>15</v>
      </c>
      <c r="H103" s="3">
        <v>35</v>
      </c>
      <c r="I103" s="2" t="str">
        <f t="shared" si="7"/>
        <v>猴</v>
      </c>
      <c r="J103" s="4">
        <f>IF(H103="","",IF(OR(AND(M103&lt;&gt;"",M103=IFERROR(INDEX($M$3:M102,MIN(IF(COUNTIF($M$3:M102,"0")=0,10^9,LOOKUP(2,1/($M$3:M102="0"),ROW($M$3:M102))),IF(COUNTIF($M$3:M102,"1")=0,10^9,LOOKUP(2,1/($M$3:M102="1"),ROW($M$3:M102))),IF(COUNTIF($M$3:M102,"2")=0,10^9,LOOKUP(2,1/($M$3:M102="2"),ROW($M$3:M102))),IF(COUNTIF($M$3:M102,"3")=0,10^9,LOOKUP(2,1/($M$3:M102="3"),ROW($M$3:M102))),IF(COUNTIF($M$3:M102,"4")=0,10^9,LOOKUP(2,1/($M$3:M102="4"),ROW($M$3:M102))),IF(COUNTIF($M$3:M102,"5")=0,10^9,LOOKUP(2,1/($M$3:M102="5"),ROW($M$3:M102))),IF(COUNTIF($M$3:M102,"6")=0,10^9,LOOKUP(2,1/($M$3:M102="6"),ROW($M$3:M102))),IF(COUNTIF($M$3:M102,"7")=0,10^9,LOOKUP(2,1/($M$3:M102="7"),ROW($M$3:M102))),IF(COUNTIF($M$3:M102,"8")=0,10^9,LOOKUP(2,1/($M$3:M102="8"),ROW($M$3:M102))),IF(COUNTIF($M$3:M102,"9")=0,10^9,LOOKUP(2,1/($M$3:M102="9"),ROW($M$3:M102))))-ROW($M$3)+1),"")),AND(N103&lt;&gt;"",N103=IFERROR(INDEX($N$3:N102,MIN(IF(COUNTIF($N$3:N102,"鼠")=0,10^9,LOOKUP(2,1/($N$3:N102="鼠"),ROW($N$3:N102))),IF(COUNTIF($N$3:N102,"牛")=0,10^9,LOOKUP(2,1/($N$3:N102="牛"),ROW($N$3:N102))),IF(COUNTIF($N$3:N102,"虎")=0,10^9,LOOKUP(2,1/($N$3:N102="虎"),ROW($N$3:N102))),IF(COUNTIF($N$3:N102,"兔")=0,10^9,LOOKUP(2,1/($N$3:N102="兔"),ROW($N$3:N102))),IF(COUNTIF($N$3:N102,"龙")=0,10^9,LOOKUP(2,1/($N$3:N102="龙"),ROW($N$3:N102))),IF(COUNTIF($N$3:N102,"蛇")=0,10^9,LOOKUP(2,1/($N$3:N102="蛇"),ROW($N$3:N102))),IF(COUNTIF($N$3:N102,"马")=0,10^9,LOOKUP(2,1/($N$3:N102="马"),ROW($N$3:N102))),IF(COUNTIF($N$3:N102,"羊")=0,10^9,LOOKUP(2,1/($N$3:N102="羊"),ROW($N$3:N102))),IF(COUNTIF($N$3:N102,"猴")=0,10^9,LOOKUP(2,1/($N$3:N102="猴"),ROW($N$3:N102))),IF(COUNTIF($N$3:N102,"鸡")=0,10^9,LOOKUP(2,1/($N$3:N102="鸡"),ROW($N$3:N102))),IF(COUNTIF($N$3:N102,"狗")=0,10^9,LOOKUP(2,1/($N$3:N102="狗"),ROW($N$3:N102))),IF(COUNTIF($N$3:N102,"猪")=0,10^9,LOOKUP(2,1/($N$3:N102="猪"),ROW($N$3:N102))))-ROW($N$3)+1),""))),0,IF(ISNUMBER(J102),J102+1,1)))</f>
        <v>12</v>
      </c>
      <c r="K103" s="5">
        <f t="shared" si="12"/>
        <v>30</v>
      </c>
      <c r="M103" s="6" t="str">
        <f t="shared" si="8"/>
        <v>5</v>
      </c>
      <c r="N103" s="2" t="str">
        <f t="shared" si="9"/>
        <v>猴</v>
      </c>
      <c r="O103" s="7" t="str">
        <f>IF(M103="","",IF(COUNTIF(M104:$M$1000,M103)&gt;0,"",M103))</f>
        <v/>
      </c>
      <c r="P103" s="8" t="str">
        <f>IF(N103="","",IF(COUNTIF(N104:$N$1000,N103)&gt;0,"",N103))</f>
        <v/>
      </c>
      <c r="Q103" s="21">
        <f t="shared" si="10"/>
        <v>109</v>
      </c>
      <c r="R103" s="22" t="str">
        <f t="shared" si="11"/>
        <v>马</v>
      </c>
      <c r="X103" s="2">
        <v>96</v>
      </c>
      <c r="Y103" s="2" t="s">
        <v>25</v>
      </c>
    </row>
    <row r="104" s="1" customFormat="1" spans="1:25">
      <c r="A104" s="2">
        <v>115056739</v>
      </c>
      <c r="B104" s="2">
        <v>22</v>
      </c>
      <c r="C104" s="2">
        <v>15</v>
      </c>
      <c r="D104" s="2">
        <v>9</v>
      </c>
      <c r="E104" s="2">
        <v>32</v>
      </c>
      <c r="F104" s="2">
        <v>14</v>
      </c>
      <c r="G104" s="2">
        <v>1</v>
      </c>
      <c r="H104" s="3">
        <v>2</v>
      </c>
      <c r="I104" s="2" t="str">
        <f t="shared" si="7"/>
        <v>蛇</v>
      </c>
      <c r="J104" s="4">
        <f>IF(H104="","",IF(OR(AND(M104&lt;&gt;"",M104=IFERROR(INDEX($M$3:M103,MIN(IF(COUNTIF($M$3:M103,"0")=0,10^9,LOOKUP(2,1/($M$3:M103="0"),ROW($M$3:M103))),IF(COUNTIF($M$3:M103,"1")=0,10^9,LOOKUP(2,1/($M$3:M103="1"),ROW($M$3:M103))),IF(COUNTIF($M$3:M103,"2")=0,10^9,LOOKUP(2,1/($M$3:M103="2"),ROW($M$3:M103))),IF(COUNTIF($M$3:M103,"3")=0,10^9,LOOKUP(2,1/($M$3:M103="3"),ROW($M$3:M103))),IF(COUNTIF($M$3:M103,"4")=0,10^9,LOOKUP(2,1/($M$3:M103="4"),ROW($M$3:M103))),IF(COUNTIF($M$3:M103,"5")=0,10^9,LOOKUP(2,1/($M$3:M103="5"),ROW($M$3:M103))),IF(COUNTIF($M$3:M103,"6")=0,10^9,LOOKUP(2,1/($M$3:M103="6"),ROW($M$3:M103))),IF(COUNTIF($M$3:M103,"7")=0,10^9,LOOKUP(2,1/($M$3:M103="7"),ROW($M$3:M103))),IF(COUNTIF($M$3:M103,"8")=0,10^9,LOOKUP(2,1/($M$3:M103="8"),ROW($M$3:M103))),IF(COUNTIF($M$3:M103,"9")=0,10^9,LOOKUP(2,1/($M$3:M103="9"),ROW($M$3:M103))))-ROW($M$3)+1),"")),AND(N104&lt;&gt;"",N104=IFERROR(INDEX($N$3:N103,MIN(IF(COUNTIF($N$3:N103,"鼠")=0,10^9,LOOKUP(2,1/($N$3:N103="鼠"),ROW($N$3:N103))),IF(COUNTIF($N$3:N103,"牛")=0,10^9,LOOKUP(2,1/($N$3:N103="牛"),ROW($N$3:N103))),IF(COUNTIF($N$3:N103,"虎")=0,10^9,LOOKUP(2,1/($N$3:N103="虎"),ROW($N$3:N103))),IF(COUNTIF($N$3:N103,"兔")=0,10^9,LOOKUP(2,1/($N$3:N103="兔"),ROW($N$3:N103))),IF(COUNTIF($N$3:N103,"龙")=0,10^9,LOOKUP(2,1/($N$3:N103="龙"),ROW($N$3:N103))),IF(COUNTIF($N$3:N103,"蛇")=0,10^9,LOOKUP(2,1/($N$3:N103="蛇"),ROW($N$3:N103))),IF(COUNTIF($N$3:N103,"马")=0,10^9,LOOKUP(2,1/($N$3:N103="马"),ROW($N$3:N103))),IF(COUNTIF($N$3:N103,"羊")=0,10^9,LOOKUP(2,1/($N$3:N103="羊"),ROW($N$3:N103))),IF(COUNTIF($N$3:N103,"猴")=0,10^9,LOOKUP(2,1/($N$3:N103="猴"),ROW($N$3:N103))),IF(COUNTIF($N$3:N103,"鸡")=0,10^9,LOOKUP(2,1/($N$3:N103="鸡"),ROW($N$3:N103))),IF(COUNTIF($N$3:N103,"狗")=0,10^9,LOOKUP(2,1/($N$3:N103="狗"),ROW($N$3:N103))),IF(COUNTIF($N$3:N103,"猪")=0,10^9,LOOKUP(2,1/($N$3:N103="猪"),ROW($N$3:N103))))-ROW($N$3)+1),""))),0,IF(ISNUMBER(J103),J103+1,1)))</f>
        <v>13</v>
      </c>
      <c r="K104" s="5">
        <f t="shared" si="12"/>
        <v>31</v>
      </c>
      <c r="M104" s="6" t="str">
        <f t="shared" si="8"/>
        <v>2</v>
      </c>
      <c r="N104" s="2" t="str">
        <f t="shared" si="9"/>
        <v>蛇</v>
      </c>
      <c r="O104" s="7" t="str">
        <f>IF(M104="","",IF(COUNTIF(M105:$M$1000,M104)&gt;0,"",M104))</f>
        <v/>
      </c>
      <c r="P104" s="8" t="str">
        <f>IF(N104="","",IF(COUNTIF(N105:$N$1000,N104)&gt;0,"",N104))</f>
        <v/>
      </c>
      <c r="Q104" s="21">
        <f t="shared" si="10"/>
        <v>66</v>
      </c>
      <c r="R104" s="22" t="str">
        <f t="shared" si="11"/>
        <v>牛</v>
      </c>
      <c r="X104" s="2">
        <v>108</v>
      </c>
      <c r="Y104" s="2" t="s">
        <v>25</v>
      </c>
    </row>
    <row r="105" s="1" customFormat="1" spans="1:25">
      <c r="A105" s="2">
        <v>115056740</v>
      </c>
      <c r="B105" s="2">
        <v>29</v>
      </c>
      <c r="C105" s="2">
        <v>8</v>
      </c>
      <c r="D105" s="2">
        <v>11</v>
      </c>
      <c r="E105" s="2">
        <v>12</v>
      </c>
      <c r="F105" s="2">
        <v>27</v>
      </c>
      <c r="G105" s="2">
        <v>28</v>
      </c>
      <c r="H105" s="3">
        <v>44</v>
      </c>
      <c r="I105" s="2" t="str">
        <f t="shared" si="7"/>
        <v>猪</v>
      </c>
      <c r="J105" s="4">
        <f>IF(H105="","",IF(OR(AND(M105&lt;&gt;"",M105=IFERROR(INDEX($M$3:M104,MIN(IF(COUNTIF($M$3:M104,"0")=0,10^9,LOOKUP(2,1/($M$3:M104="0"),ROW($M$3:M104))),IF(COUNTIF($M$3:M104,"1")=0,10^9,LOOKUP(2,1/($M$3:M104="1"),ROW($M$3:M104))),IF(COUNTIF($M$3:M104,"2")=0,10^9,LOOKUP(2,1/($M$3:M104="2"),ROW($M$3:M104))),IF(COUNTIF($M$3:M104,"3")=0,10^9,LOOKUP(2,1/($M$3:M104="3"),ROW($M$3:M104))),IF(COUNTIF($M$3:M104,"4")=0,10^9,LOOKUP(2,1/($M$3:M104="4"),ROW($M$3:M104))),IF(COUNTIF($M$3:M104,"5")=0,10^9,LOOKUP(2,1/($M$3:M104="5"),ROW($M$3:M104))),IF(COUNTIF($M$3:M104,"6")=0,10^9,LOOKUP(2,1/($M$3:M104="6"),ROW($M$3:M104))),IF(COUNTIF($M$3:M104,"7")=0,10^9,LOOKUP(2,1/($M$3:M104="7"),ROW($M$3:M104))),IF(COUNTIF($M$3:M104,"8")=0,10^9,LOOKUP(2,1/($M$3:M104="8"),ROW($M$3:M104))),IF(COUNTIF($M$3:M104,"9")=0,10^9,LOOKUP(2,1/($M$3:M104="9"),ROW($M$3:M104))))-ROW($M$3)+1),"")),AND(N105&lt;&gt;"",N105=IFERROR(INDEX($N$3:N104,MIN(IF(COUNTIF($N$3:N104,"鼠")=0,10^9,LOOKUP(2,1/($N$3:N104="鼠"),ROW($N$3:N104))),IF(COUNTIF($N$3:N104,"牛")=0,10^9,LOOKUP(2,1/($N$3:N104="牛"),ROW($N$3:N104))),IF(COUNTIF($N$3:N104,"虎")=0,10^9,LOOKUP(2,1/($N$3:N104="虎"),ROW($N$3:N104))),IF(COUNTIF($N$3:N104,"兔")=0,10^9,LOOKUP(2,1/($N$3:N104="兔"),ROW($N$3:N104))),IF(COUNTIF($N$3:N104,"龙")=0,10^9,LOOKUP(2,1/($N$3:N104="龙"),ROW($N$3:N104))),IF(COUNTIF($N$3:N104,"蛇")=0,10^9,LOOKUP(2,1/($N$3:N104="蛇"),ROW($N$3:N104))),IF(COUNTIF($N$3:N104,"马")=0,10^9,LOOKUP(2,1/($N$3:N104="马"),ROW($N$3:N104))),IF(COUNTIF($N$3:N104,"羊")=0,10^9,LOOKUP(2,1/($N$3:N104="羊"),ROW($N$3:N104))),IF(COUNTIF($N$3:N104,"猴")=0,10^9,LOOKUP(2,1/($N$3:N104="猴"),ROW($N$3:N104))),IF(COUNTIF($N$3:N104,"鸡")=0,10^9,LOOKUP(2,1/($N$3:N104="鸡"),ROW($N$3:N104))),IF(COUNTIF($N$3:N104,"狗")=0,10^9,LOOKUP(2,1/($N$3:N104="狗"),ROW($N$3:N104))),IF(COUNTIF($N$3:N104,"猪")=0,10^9,LOOKUP(2,1/($N$3:N104="猪"),ROW($N$3:N104))))-ROW($N$3)+1),""))),0,IF(ISNUMBER(J104),J104+1,1)))</f>
        <v>14</v>
      </c>
      <c r="K105" s="5">
        <f t="shared" si="12"/>
        <v>32</v>
      </c>
      <c r="M105" s="6" t="str">
        <f t="shared" si="8"/>
        <v>4</v>
      </c>
      <c r="N105" s="2" t="str">
        <f t="shared" si="9"/>
        <v>猪</v>
      </c>
      <c r="O105" s="7" t="str">
        <f>IF(M105="","",IF(COUNTIF(M106:$M$1000,M105)&gt;0,"",M105))</f>
        <v/>
      </c>
      <c r="P105" s="8" t="str">
        <f>IF(N105="","",IF(COUNTIF(N106:$N$1000,N105)&gt;0,"",N105))</f>
        <v/>
      </c>
      <c r="Q105" s="21">
        <f t="shared" si="10"/>
        <v>78</v>
      </c>
      <c r="R105" s="22" t="str">
        <f t="shared" si="11"/>
        <v>牛</v>
      </c>
      <c r="X105" s="2">
        <v>120</v>
      </c>
      <c r="Y105" s="2" t="s">
        <v>25</v>
      </c>
    </row>
    <row r="106" s="1" customFormat="1" spans="1:25">
      <c r="A106" s="2">
        <v>115056741</v>
      </c>
      <c r="B106" s="2">
        <v>9</v>
      </c>
      <c r="C106" s="2">
        <v>26</v>
      </c>
      <c r="D106" s="2">
        <v>35</v>
      </c>
      <c r="E106" s="2">
        <v>3</v>
      </c>
      <c r="F106" s="2">
        <v>41</v>
      </c>
      <c r="G106" s="2">
        <v>25</v>
      </c>
      <c r="H106" s="3">
        <v>43</v>
      </c>
      <c r="I106" s="2" t="str">
        <f t="shared" si="7"/>
        <v>鼠</v>
      </c>
      <c r="J106" s="4">
        <f>IF(H106="","",IF(OR(AND(M106&lt;&gt;"",M106=IFERROR(INDEX($M$3:M105,MIN(IF(COUNTIF($M$3:M105,"0")=0,10^9,LOOKUP(2,1/($M$3:M105="0"),ROW($M$3:M105))),IF(COUNTIF($M$3:M105,"1")=0,10^9,LOOKUP(2,1/($M$3:M105="1"),ROW($M$3:M105))),IF(COUNTIF($M$3:M105,"2")=0,10^9,LOOKUP(2,1/($M$3:M105="2"),ROW($M$3:M105))),IF(COUNTIF($M$3:M105,"3")=0,10^9,LOOKUP(2,1/($M$3:M105="3"),ROW($M$3:M105))),IF(COUNTIF($M$3:M105,"4")=0,10^9,LOOKUP(2,1/($M$3:M105="4"),ROW($M$3:M105))),IF(COUNTIF($M$3:M105,"5")=0,10^9,LOOKUP(2,1/($M$3:M105="5"),ROW($M$3:M105))),IF(COUNTIF($M$3:M105,"6")=0,10^9,LOOKUP(2,1/($M$3:M105="6"),ROW($M$3:M105))),IF(COUNTIF($M$3:M105,"7")=0,10^9,LOOKUP(2,1/($M$3:M105="7"),ROW($M$3:M105))),IF(COUNTIF($M$3:M105,"8")=0,10^9,LOOKUP(2,1/($M$3:M105="8"),ROW($M$3:M105))),IF(COUNTIF($M$3:M105,"9")=0,10^9,LOOKUP(2,1/($M$3:M105="9"),ROW($M$3:M105))))-ROW($M$3)+1),"")),AND(N106&lt;&gt;"",N106=IFERROR(INDEX($N$3:N105,MIN(IF(COUNTIF($N$3:N105,"鼠")=0,10^9,LOOKUP(2,1/($N$3:N105="鼠"),ROW($N$3:N105))),IF(COUNTIF($N$3:N105,"牛")=0,10^9,LOOKUP(2,1/($N$3:N105="牛"),ROW($N$3:N105))),IF(COUNTIF($N$3:N105,"虎")=0,10^9,LOOKUP(2,1/($N$3:N105="虎"),ROW($N$3:N105))),IF(COUNTIF($N$3:N105,"兔")=0,10^9,LOOKUP(2,1/($N$3:N105="兔"),ROW($N$3:N105))),IF(COUNTIF($N$3:N105,"龙")=0,10^9,LOOKUP(2,1/($N$3:N105="龙"),ROW($N$3:N105))),IF(COUNTIF($N$3:N105,"蛇")=0,10^9,LOOKUP(2,1/($N$3:N105="蛇"),ROW($N$3:N105))),IF(COUNTIF($N$3:N105,"马")=0,10^9,LOOKUP(2,1/($N$3:N105="马"),ROW($N$3:N105))),IF(COUNTIF($N$3:N105,"羊")=0,10^9,LOOKUP(2,1/($N$3:N105="羊"),ROW($N$3:N105))),IF(COUNTIF($N$3:N105,"猴")=0,10^9,LOOKUP(2,1/($N$3:N105="猴"),ROW($N$3:N105))),IF(COUNTIF($N$3:N105,"鸡")=0,10^9,LOOKUP(2,1/($N$3:N105="鸡"),ROW($N$3:N105))),IF(COUNTIF($N$3:N105,"狗")=0,10^9,LOOKUP(2,1/($N$3:N105="狗"),ROW($N$3:N105))),IF(COUNTIF($N$3:N105,"猪")=0,10^9,LOOKUP(2,1/($N$3:N105="猪"),ROW($N$3:N105))))-ROW($N$3)+1),""))),0,IF(ISNUMBER(J105),J105+1,1)))</f>
        <v>15</v>
      </c>
      <c r="K106" s="5">
        <f t="shared" si="12"/>
        <v>33</v>
      </c>
      <c r="M106" s="6" t="str">
        <f t="shared" si="8"/>
        <v>3</v>
      </c>
      <c r="N106" s="2" t="str">
        <f t="shared" si="9"/>
        <v>鼠</v>
      </c>
      <c r="O106" s="7" t="str">
        <f>IF(M106="","",IF(COUNTIF(M107:$M$1000,M106)&gt;0,"",M106))</f>
        <v/>
      </c>
      <c r="P106" s="8" t="str">
        <f>IF(N106="","",IF(COUNTIF(N107:$N$1000,N106)&gt;0,"",N106))</f>
        <v/>
      </c>
      <c r="Q106" s="21">
        <f t="shared" si="10"/>
        <v>91</v>
      </c>
      <c r="R106" s="22" t="str">
        <f t="shared" si="11"/>
        <v>鼠</v>
      </c>
      <c r="X106" s="2">
        <v>59</v>
      </c>
      <c r="Y106" s="2" t="s">
        <v>26</v>
      </c>
    </row>
    <row r="107" s="1" customFormat="1" spans="1:25">
      <c r="A107" s="2">
        <v>115056742</v>
      </c>
      <c r="B107" s="2">
        <v>36</v>
      </c>
      <c r="C107" s="2">
        <v>25</v>
      </c>
      <c r="D107" s="2">
        <v>40</v>
      </c>
      <c r="E107" s="2">
        <v>49</v>
      </c>
      <c r="F107" s="2">
        <v>10</v>
      </c>
      <c r="G107" s="2">
        <v>18</v>
      </c>
      <c r="H107" s="3">
        <v>16</v>
      </c>
      <c r="I107" s="2" t="str">
        <f t="shared" si="7"/>
        <v>兔</v>
      </c>
      <c r="J107" s="4">
        <f>IF(H107="","",IF(OR(AND(M107&lt;&gt;"",M107=IFERROR(INDEX($M$3:M106,MIN(IF(COUNTIF($M$3:M106,"0")=0,10^9,LOOKUP(2,1/($M$3:M106="0"),ROW($M$3:M106))),IF(COUNTIF($M$3:M106,"1")=0,10^9,LOOKUP(2,1/($M$3:M106="1"),ROW($M$3:M106))),IF(COUNTIF($M$3:M106,"2")=0,10^9,LOOKUP(2,1/($M$3:M106="2"),ROW($M$3:M106))),IF(COUNTIF($M$3:M106,"3")=0,10^9,LOOKUP(2,1/($M$3:M106="3"),ROW($M$3:M106))),IF(COUNTIF($M$3:M106,"4")=0,10^9,LOOKUP(2,1/($M$3:M106="4"),ROW($M$3:M106))),IF(COUNTIF($M$3:M106,"5")=0,10^9,LOOKUP(2,1/($M$3:M106="5"),ROW($M$3:M106))),IF(COUNTIF($M$3:M106,"6")=0,10^9,LOOKUP(2,1/($M$3:M106="6"),ROW($M$3:M106))),IF(COUNTIF($M$3:M106,"7")=0,10^9,LOOKUP(2,1/($M$3:M106="7"),ROW($M$3:M106))),IF(COUNTIF($M$3:M106,"8")=0,10^9,LOOKUP(2,1/($M$3:M106="8"),ROW($M$3:M106))),IF(COUNTIF($M$3:M106,"9")=0,10^9,LOOKUP(2,1/($M$3:M106="9"),ROW($M$3:M106))))-ROW($M$3)+1),"")),AND(N107&lt;&gt;"",N107=IFERROR(INDEX($N$3:N106,MIN(IF(COUNTIF($N$3:N106,"鼠")=0,10^9,LOOKUP(2,1/($N$3:N106="鼠"),ROW($N$3:N106))),IF(COUNTIF($N$3:N106,"牛")=0,10^9,LOOKUP(2,1/($N$3:N106="牛"),ROW($N$3:N106))),IF(COUNTIF($N$3:N106,"虎")=0,10^9,LOOKUP(2,1/($N$3:N106="虎"),ROW($N$3:N106))),IF(COUNTIF($N$3:N106,"兔")=0,10^9,LOOKUP(2,1/($N$3:N106="兔"),ROW($N$3:N106))),IF(COUNTIF($N$3:N106,"龙")=0,10^9,LOOKUP(2,1/($N$3:N106="龙"),ROW($N$3:N106))),IF(COUNTIF($N$3:N106,"蛇")=0,10^9,LOOKUP(2,1/($N$3:N106="蛇"),ROW($N$3:N106))),IF(COUNTIF($N$3:N106,"马")=0,10^9,LOOKUP(2,1/($N$3:N106="马"),ROW($N$3:N106))),IF(COUNTIF($N$3:N106,"羊")=0,10^9,LOOKUP(2,1/($N$3:N106="羊"),ROW($N$3:N106))),IF(COUNTIF($N$3:N106,"猴")=0,10^9,LOOKUP(2,1/($N$3:N106="猴"),ROW($N$3:N106))),IF(COUNTIF($N$3:N106,"鸡")=0,10^9,LOOKUP(2,1/($N$3:N106="鸡"),ROW($N$3:N106))),IF(COUNTIF($N$3:N106,"狗")=0,10^9,LOOKUP(2,1/($N$3:N106="狗"),ROW($N$3:N106))),IF(COUNTIF($N$3:N106,"猪")=0,10^9,LOOKUP(2,1/($N$3:N106="猪"),ROW($N$3:N106))))-ROW($N$3)+1),""))),0,IF(ISNUMBER(J106),J106+1,1)))</f>
        <v>16</v>
      </c>
      <c r="K107" s="5">
        <f t="shared" si="12"/>
        <v>34</v>
      </c>
      <c r="M107" s="6" t="str">
        <f t="shared" si="8"/>
        <v>6</v>
      </c>
      <c r="N107" s="2" t="str">
        <f t="shared" si="9"/>
        <v>兔</v>
      </c>
      <c r="O107" s="7" t="str">
        <f>IF(M107="","",IF(COUNTIF(M108:$M$1000,M107)&gt;0,"",M107))</f>
        <v/>
      </c>
      <c r="P107" s="8" t="str">
        <f>IF(N107="","",IF(COUNTIF(N108:$N$1000,N107)&gt;0,"",N107))</f>
        <v/>
      </c>
      <c r="Q107" s="21">
        <f t="shared" si="10"/>
        <v>114</v>
      </c>
      <c r="R107" s="22" t="str">
        <f t="shared" si="11"/>
        <v>牛</v>
      </c>
      <c r="X107" s="2">
        <v>71</v>
      </c>
      <c r="Y107" s="2" t="s">
        <v>26</v>
      </c>
    </row>
    <row r="108" s="1" customFormat="1" spans="1:25">
      <c r="A108" s="2">
        <v>115056743</v>
      </c>
      <c r="B108" s="2">
        <v>47</v>
      </c>
      <c r="C108" s="2">
        <v>38</v>
      </c>
      <c r="D108" s="2">
        <v>45</v>
      </c>
      <c r="E108" s="2">
        <v>32</v>
      </c>
      <c r="F108" s="2">
        <v>39</v>
      </c>
      <c r="G108" s="2">
        <v>2</v>
      </c>
      <c r="H108" s="3">
        <v>29</v>
      </c>
      <c r="I108" s="2" t="str">
        <f t="shared" si="7"/>
        <v>虎</v>
      </c>
      <c r="J108" s="4">
        <f>IF(H108="","",IF(OR(AND(M108&lt;&gt;"",M108=IFERROR(INDEX($M$3:M107,MIN(IF(COUNTIF($M$3:M107,"0")=0,10^9,LOOKUP(2,1/($M$3:M107="0"),ROW($M$3:M107))),IF(COUNTIF($M$3:M107,"1")=0,10^9,LOOKUP(2,1/($M$3:M107="1"),ROW($M$3:M107))),IF(COUNTIF($M$3:M107,"2")=0,10^9,LOOKUP(2,1/($M$3:M107="2"),ROW($M$3:M107))),IF(COUNTIF($M$3:M107,"3")=0,10^9,LOOKUP(2,1/($M$3:M107="3"),ROW($M$3:M107))),IF(COUNTIF($M$3:M107,"4")=0,10^9,LOOKUP(2,1/($M$3:M107="4"),ROW($M$3:M107))),IF(COUNTIF($M$3:M107,"5")=0,10^9,LOOKUP(2,1/($M$3:M107="5"),ROW($M$3:M107))),IF(COUNTIF($M$3:M107,"6")=0,10^9,LOOKUP(2,1/($M$3:M107="6"),ROW($M$3:M107))),IF(COUNTIF($M$3:M107,"7")=0,10^9,LOOKUP(2,1/($M$3:M107="7"),ROW($M$3:M107))),IF(COUNTIF($M$3:M107,"8")=0,10^9,LOOKUP(2,1/($M$3:M107="8"),ROW($M$3:M107))),IF(COUNTIF($M$3:M107,"9")=0,10^9,LOOKUP(2,1/($M$3:M107="9"),ROW($M$3:M107))))-ROW($M$3)+1),"")),AND(N108&lt;&gt;"",N108=IFERROR(INDEX($N$3:N107,MIN(IF(COUNTIF($N$3:N107,"鼠")=0,10^9,LOOKUP(2,1/($N$3:N107="鼠"),ROW($N$3:N107))),IF(COUNTIF($N$3:N107,"牛")=0,10^9,LOOKUP(2,1/($N$3:N107="牛"),ROW($N$3:N107))),IF(COUNTIF($N$3:N107,"虎")=0,10^9,LOOKUP(2,1/($N$3:N107="虎"),ROW($N$3:N107))),IF(COUNTIF($N$3:N107,"兔")=0,10^9,LOOKUP(2,1/($N$3:N107="兔"),ROW($N$3:N107))),IF(COUNTIF($N$3:N107,"龙")=0,10^9,LOOKUP(2,1/($N$3:N107="龙"),ROW($N$3:N107))),IF(COUNTIF($N$3:N107,"蛇")=0,10^9,LOOKUP(2,1/($N$3:N107="蛇"),ROW($N$3:N107))),IF(COUNTIF($N$3:N107,"马")=0,10^9,LOOKUP(2,1/($N$3:N107="马"),ROW($N$3:N107))),IF(COUNTIF($N$3:N107,"羊")=0,10^9,LOOKUP(2,1/($N$3:N107="羊"),ROW($N$3:N107))),IF(COUNTIF($N$3:N107,"猴")=0,10^9,LOOKUP(2,1/($N$3:N107="猴"),ROW($N$3:N107))),IF(COUNTIF($N$3:N107,"鸡")=0,10^9,LOOKUP(2,1/($N$3:N107="鸡"),ROW($N$3:N107))),IF(COUNTIF($N$3:N107,"狗")=0,10^9,LOOKUP(2,1/($N$3:N107="狗"),ROW($N$3:N107))),IF(COUNTIF($N$3:N107,"猪")=0,10^9,LOOKUP(2,1/($N$3:N107="猪"),ROW($N$3:N107))))-ROW($N$3)+1),""))),0,IF(ISNUMBER(J107),J107+1,1)))</f>
        <v>17</v>
      </c>
      <c r="K108" s="5">
        <f t="shared" si="12"/>
        <v>35</v>
      </c>
      <c r="M108" s="6" t="str">
        <f t="shared" si="8"/>
        <v>9</v>
      </c>
      <c r="N108" s="2" t="str">
        <f t="shared" si="9"/>
        <v>虎</v>
      </c>
      <c r="O108" s="7" t="str">
        <f>IF(M108="","",IF(COUNTIF(M109:$M$1000,M108)&gt;0,"",M108))</f>
        <v/>
      </c>
      <c r="P108" s="8" t="str">
        <f>IF(N108="","",IF(COUNTIF(N109:$N$1000,N108)&gt;0,"",N108))</f>
        <v/>
      </c>
      <c r="Q108" s="21">
        <f t="shared" si="10"/>
        <v>118</v>
      </c>
      <c r="R108" s="22" t="str">
        <f t="shared" si="11"/>
        <v>鸡</v>
      </c>
      <c r="X108" s="2">
        <v>83</v>
      </c>
      <c r="Y108" s="2" t="s">
        <v>26</v>
      </c>
    </row>
    <row r="109" s="1" customFormat="1" spans="1:25">
      <c r="A109" s="2">
        <v>115056744</v>
      </c>
      <c r="B109" s="2">
        <v>31</v>
      </c>
      <c r="C109" s="2">
        <v>21</v>
      </c>
      <c r="D109" s="2">
        <v>24</v>
      </c>
      <c r="E109" s="2">
        <v>20</v>
      </c>
      <c r="F109" s="2">
        <v>11</v>
      </c>
      <c r="G109" s="2">
        <v>18</v>
      </c>
      <c r="H109" s="3">
        <v>45</v>
      </c>
      <c r="I109" s="2" t="str">
        <f t="shared" si="7"/>
        <v>狗</v>
      </c>
      <c r="J109" s="4">
        <f>IF(H109="","",IF(OR(AND(M109&lt;&gt;"",M109=IFERROR(INDEX($M$3:M108,MIN(IF(COUNTIF($M$3:M108,"0")=0,10^9,LOOKUP(2,1/($M$3:M108="0"),ROW($M$3:M108))),IF(COUNTIF($M$3:M108,"1")=0,10^9,LOOKUP(2,1/($M$3:M108="1"),ROW($M$3:M108))),IF(COUNTIF($M$3:M108,"2")=0,10^9,LOOKUP(2,1/($M$3:M108="2"),ROW($M$3:M108))),IF(COUNTIF($M$3:M108,"3")=0,10^9,LOOKUP(2,1/($M$3:M108="3"),ROW($M$3:M108))),IF(COUNTIF($M$3:M108,"4")=0,10^9,LOOKUP(2,1/($M$3:M108="4"),ROW($M$3:M108))),IF(COUNTIF($M$3:M108,"5")=0,10^9,LOOKUP(2,1/($M$3:M108="5"),ROW($M$3:M108))),IF(COUNTIF($M$3:M108,"6")=0,10^9,LOOKUP(2,1/($M$3:M108="6"),ROW($M$3:M108))),IF(COUNTIF($M$3:M108,"7")=0,10^9,LOOKUP(2,1/($M$3:M108="7"),ROW($M$3:M108))),IF(COUNTIF($M$3:M108,"8")=0,10^9,LOOKUP(2,1/($M$3:M108="8"),ROW($M$3:M108))),IF(COUNTIF($M$3:M108,"9")=0,10^9,LOOKUP(2,1/($M$3:M108="9"),ROW($M$3:M108))))-ROW($M$3)+1),"")),AND(N109&lt;&gt;"",N109=IFERROR(INDEX($N$3:N108,MIN(IF(COUNTIF($N$3:N108,"鼠")=0,10^9,LOOKUP(2,1/($N$3:N108="鼠"),ROW($N$3:N108))),IF(COUNTIF($N$3:N108,"牛")=0,10^9,LOOKUP(2,1/($N$3:N108="牛"),ROW($N$3:N108))),IF(COUNTIF($N$3:N108,"虎")=0,10^9,LOOKUP(2,1/($N$3:N108="虎"),ROW($N$3:N108))),IF(COUNTIF($N$3:N108,"兔")=0,10^9,LOOKUP(2,1/($N$3:N108="兔"),ROW($N$3:N108))),IF(COUNTIF($N$3:N108,"龙")=0,10^9,LOOKUP(2,1/($N$3:N108="龙"),ROW($N$3:N108))),IF(COUNTIF($N$3:N108,"蛇")=0,10^9,LOOKUP(2,1/($N$3:N108="蛇"),ROW($N$3:N108))),IF(COUNTIF($N$3:N108,"马")=0,10^9,LOOKUP(2,1/($N$3:N108="马"),ROW($N$3:N108))),IF(COUNTIF($N$3:N108,"羊")=0,10^9,LOOKUP(2,1/($N$3:N108="羊"),ROW($N$3:N108))),IF(COUNTIF($N$3:N108,"猴")=0,10^9,LOOKUP(2,1/($N$3:N108="猴"),ROW($N$3:N108))),IF(COUNTIF($N$3:N108,"鸡")=0,10^9,LOOKUP(2,1/($N$3:N108="鸡"),ROW($N$3:N108))),IF(COUNTIF($N$3:N108,"狗")=0,10^9,LOOKUP(2,1/($N$3:N108="狗"),ROW($N$3:N108))),IF(COUNTIF($N$3:N108,"猪")=0,10^9,LOOKUP(2,1/($N$3:N108="猪"),ROW($N$3:N108))))-ROW($N$3)+1),""))),0,IF(ISNUMBER(J108),J108+1,1)))</f>
        <v>18</v>
      </c>
      <c r="K109" s="5">
        <f t="shared" si="12"/>
        <v>36</v>
      </c>
      <c r="M109" s="6" t="str">
        <f t="shared" si="8"/>
        <v>5</v>
      </c>
      <c r="N109" s="2" t="str">
        <f t="shared" si="9"/>
        <v>狗</v>
      </c>
      <c r="O109" s="7" t="str">
        <f>IF(M109="","",IF(COUNTIF(M110:$M$1000,M109)&gt;0,"",M109))</f>
        <v/>
      </c>
      <c r="P109" s="8" t="str">
        <f>IF(N109="","",IF(COUNTIF(N110:$N$1000,N109)&gt;0,"",N109))</f>
        <v/>
      </c>
      <c r="Q109" s="21">
        <f t="shared" si="10"/>
        <v>73</v>
      </c>
      <c r="R109" s="22" t="str">
        <f t="shared" si="11"/>
        <v>马</v>
      </c>
      <c r="X109" s="2">
        <v>95</v>
      </c>
      <c r="Y109" s="2" t="s">
        <v>26</v>
      </c>
    </row>
    <row r="110" s="1" customFormat="1" spans="1:25">
      <c r="A110" s="2">
        <v>115056745</v>
      </c>
      <c r="B110" s="2">
        <v>36</v>
      </c>
      <c r="C110" s="2">
        <v>42</v>
      </c>
      <c r="D110" s="2">
        <v>29</v>
      </c>
      <c r="E110" s="2">
        <v>40</v>
      </c>
      <c r="F110" s="2">
        <v>2</v>
      </c>
      <c r="G110" s="2">
        <v>47</v>
      </c>
      <c r="H110" s="3">
        <v>12</v>
      </c>
      <c r="I110" s="2" t="str">
        <f t="shared" si="7"/>
        <v>羊</v>
      </c>
      <c r="J110" s="4">
        <f>IF(H110="","",IF(OR(AND(M110&lt;&gt;"",M110=IFERROR(INDEX($M$3:M109,MIN(IF(COUNTIF($M$3:M109,"0")=0,10^9,LOOKUP(2,1/($M$3:M109="0"),ROW($M$3:M109))),IF(COUNTIF($M$3:M109,"1")=0,10^9,LOOKUP(2,1/($M$3:M109="1"),ROW($M$3:M109))),IF(COUNTIF($M$3:M109,"2")=0,10^9,LOOKUP(2,1/($M$3:M109="2"),ROW($M$3:M109))),IF(COUNTIF($M$3:M109,"3")=0,10^9,LOOKUP(2,1/($M$3:M109="3"),ROW($M$3:M109))),IF(COUNTIF($M$3:M109,"4")=0,10^9,LOOKUP(2,1/($M$3:M109="4"),ROW($M$3:M109))),IF(COUNTIF($M$3:M109,"5")=0,10^9,LOOKUP(2,1/($M$3:M109="5"),ROW($M$3:M109))),IF(COUNTIF($M$3:M109,"6")=0,10^9,LOOKUP(2,1/($M$3:M109="6"),ROW($M$3:M109))),IF(COUNTIF($M$3:M109,"7")=0,10^9,LOOKUP(2,1/($M$3:M109="7"),ROW($M$3:M109))),IF(COUNTIF($M$3:M109,"8")=0,10^9,LOOKUP(2,1/($M$3:M109="8"),ROW($M$3:M109))),IF(COUNTIF($M$3:M109,"9")=0,10^9,LOOKUP(2,1/($M$3:M109="9"),ROW($M$3:M109))))-ROW($M$3)+1),"")),AND(N110&lt;&gt;"",N110=IFERROR(INDEX($N$3:N109,MIN(IF(COUNTIF($N$3:N109,"鼠")=0,10^9,LOOKUP(2,1/($N$3:N109="鼠"),ROW($N$3:N109))),IF(COUNTIF($N$3:N109,"牛")=0,10^9,LOOKUP(2,1/($N$3:N109="牛"),ROW($N$3:N109))),IF(COUNTIF($N$3:N109,"虎")=0,10^9,LOOKUP(2,1/($N$3:N109="虎"),ROW($N$3:N109))),IF(COUNTIF($N$3:N109,"兔")=0,10^9,LOOKUP(2,1/($N$3:N109="兔"),ROW($N$3:N109))),IF(COUNTIF($N$3:N109,"龙")=0,10^9,LOOKUP(2,1/($N$3:N109="龙"),ROW($N$3:N109))),IF(COUNTIF($N$3:N109,"蛇")=0,10^9,LOOKUP(2,1/($N$3:N109="蛇"),ROW($N$3:N109))),IF(COUNTIF($N$3:N109,"马")=0,10^9,LOOKUP(2,1/($N$3:N109="马"),ROW($N$3:N109))),IF(COUNTIF($N$3:N109,"羊")=0,10^9,LOOKUP(2,1/($N$3:N109="羊"),ROW($N$3:N109))),IF(COUNTIF($N$3:N109,"猴")=0,10^9,LOOKUP(2,1/($N$3:N109="猴"),ROW($N$3:N109))),IF(COUNTIF($N$3:N109,"鸡")=0,10^9,LOOKUP(2,1/($N$3:N109="鸡"),ROW($N$3:N109))),IF(COUNTIF($N$3:N109,"狗")=0,10^9,LOOKUP(2,1/($N$3:N109="狗"),ROW($N$3:N109))),IF(COUNTIF($N$3:N109,"猪")=0,10^9,LOOKUP(2,1/($N$3:N109="猪"),ROW($N$3:N109))))-ROW($N$3)+1),""))),0,IF(ISNUMBER(J109),J109+1,1)))</f>
        <v>19</v>
      </c>
      <c r="K110" s="5">
        <f t="shared" si="12"/>
        <v>37</v>
      </c>
      <c r="M110" s="6" t="str">
        <f t="shared" si="8"/>
        <v>2</v>
      </c>
      <c r="N110" s="2" t="str">
        <f t="shared" si="9"/>
        <v>羊</v>
      </c>
      <c r="O110" s="7" t="str">
        <f>IF(M110="","",IF(COUNTIF(M111:$M$1000,M110)&gt;0,"",M110))</f>
        <v>2</v>
      </c>
      <c r="P110" s="8" t="str">
        <f>IF(N110="","",IF(COUNTIF(N111:$N$1000,N110)&gt;0,"",N110))</f>
        <v>羊</v>
      </c>
      <c r="Q110" s="21">
        <f t="shared" si="10"/>
        <v>117</v>
      </c>
      <c r="R110" s="22" t="str">
        <f t="shared" si="11"/>
        <v>狗</v>
      </c>
      <c r="X110" s="2">
        <v>107</v>
      </c>
      <c r="Y110" s="2" t="s">
        <v>26</v>
      </c>
    </row>
    <row r="111" s="1" customFormat="1" spans="1:25">
      <c r="A111" s="2">
        <v>115056746</v>
      </c>
      <c r="B111" s="2">
        <v>47</v>
      </c>
      <c r="C111" s="2">
        <v>21</v>
      </c>
      <c r="D111" s="2">
        <v>40</v>
      </c>
      <c r="E111" s="2">
        <v>36</v>
      </c>
      <c r="F111" s="2">
        <v>6</v>
      </c>
      <c r="G111" s="2">
        <v>5</v>
      </c>
      <c r="H111" s="3">
        <v>10</v>
      </c>
      <c r="I111" s="2" t="str">
        <f t="shared" si="7"/>
        <v>鸡</v>
      </c>
      <c r="J111" s="4">
        <f>IF(H111="","",IF(OR(AND(M111&lt;&gt;"",M111=IFERROR(INDEX($M$3:M110,MIN(IF(COUNTIF($M$3:M110,"0")=0,10^9,LOOKUP(2,1/($M$3:M110="0"),ROW($M$3:M110))),IF(COUNTIF($M$3:M110,"1")=0,10^9,LOOKUP(2,1/($M$3:M110="1"),ROW($M$3:M110))),IF(COUNTIF($M$3:M110,"2")=0,10^9,LOOKUP(2,1/($M$3:M110="2"),ROW($M$3:M110))),IF(COUNTIF($M$3:M110,"3")=0,10^9,LOOKUP(2,1/($M$3:M110="3"),ROW($M$3:M110))),IF(COUNTIF($M$3:M110,"4")=0,10^9,LOOKUP(2,1/($M$3:M110="4"),ROW($M$3:M110))),IF(COUNTIF($M$3:M110,"5")=0,10^9,LOOKUP(2,1/($M$3:M110="5"),ROW($M$3:M110))),IF(COUNTIF($M$3:M110,"6")=0,10^9,LOOKUP(2,1/($M$3:M110="6"),ROW($M$3:M110))),IF(COUNTIF($M$3:M110,"7")=0,10^9,LOOKUP(2,1/($M$3:M110="7"),ROW($M$3:M110))),IF(COUNTIF($M$3:M110,"8")=0,10^9,LOOKUP(2,1/($M$3:M110="8"),ROW($M$3:M110))),IF(COUNTIF($M$3:M110,"9")=0,10^9,LOOKUP(2,1/($M$3:M110="9"),ROW($M$3:M110))))-ROW($M$3)+1),"")),AND(N111&lt;&gt;"",N111=IFERROR(INDEX($N$3:N110,MIN(IF(COUNTIF($N$3:N110,"鼠")=0,10^9,LOOKUP(2,1/($N$3:N110="鼠"),ROW($N$3:N110))),IF(COUNTIF($N$3:N110,"牛")=0,10^9,LOOKUP(2,1/($N$3:N110="牛"),ROW($N$3:N110))),IF(COUNTIF($N$3:N110,"虎")=0,10^9,LOOKUP(2,1/($N$3:N110="虎"),ROW($N$3:N110))),IF(COUNTIF($N$3:N110,"兔")=0,10^9,LOOKUP(2,1/($N$3:N110="兔"),ROW($N$3:N110))),IF(COUNTIF($N$3:N110,"龙")=0,10^9,LOOKUP(2,1/($N$3:N110="龙"),ROW($N$3:N110))),IF(COUNTIF($N$3:N110,"蛇")=0,10^9,LOOKUP(2,1/($N$3:N110="蛇"),ROW($N$3:N110))),IF(COUNTIF($N$3:N110,"马")=0,10^9,LOOKUP(2,1/($N$3:N110="马"),ROW($N$3:N110))),IF(COUNTIF($N$3:N110,"羊")=0,10^9,LOOKUP(2,1/($N$3:N110="羊"),ROW($N$3:N110))),IF(COUNTIF($N$3:N110,"猴")=0,10^9,LOOKUP(2,1/($N$3:N110="猴"),ROW($N$3:N110))),IF(COUNTIF($N$3:N110,"鸡")=0,10^9,LOOKUP(2,1/($N$3:N110="鸡"),ROW($N$3:N110))),IF(COUNTIF($N$3:N110,"狗")=0,10^9,LOOKUP(2,1/($N$3:N110="狗"),ROW($N$3:N110))),IF(COUNTIF($N$3:N110,"猪")=0,10^9,LOOKUP(2,1/($N$3:N110="猪"),ROW($N$3:N110))))-ROW($N$3)+1),""))),0,IF(ISNUMBER(J110),J110+1,1)))</f>
        <v>20</v>
      </c>
      <c r="K111" s="5">
        <f t="shared" si="12"/>
        <v>38</v>
      </c>
      <c r="M111" s="6" t="str">
        <f t="shared" si="8"/>
        <v>0</v>
      </c>
      <c r="N111" s="2" t="str">
        <f t="shared" si="9"/>
        <v>鸡</v>
      </c>
      <c r="O111" s="7" t="str">
        <f>IF(M111="","",IF(COUNTIF(M112:$M$1000,M111)&gt;0,"",M111))</f>
        <v/>
      </c>
      <c r="P111" s="8" t="str">
        <f>IF(N111="","",IF(COUNTIF(N112:$N$1000,N111)&gt;0,"",N111))</f>
        <v/>
      </c>
      <c r="Q111" s="21">
        <f t="shared" si="10"/>
        <v>110</v>
      </c>
      <c r="R111" s="22" t="str">
        <f t="shared" si="11"/>
        <v>蛇</v>
      </c>
      <c r="X111" s="2">
        <v>119</v>
      </c>
      <c r="Y111" s="2" t="s">
        <v>26</v>
      </c>
    </row>
    <row r="112" s="1" customFormat="1" spans="1:25">
      <c r="A112" s="2">
        <v>115056747</v>
      </c>
      <c r="B112" s="2">
        <v>27</v>
      </c>
      <c r="C112" s="2">
        <v>48</v>
      </c>
      <c r="D112" s="2">
        <v>41</v>
      </c>
      <c r="E112" s="2">
        <v>5</v>
      </c>
      <c r="F112" s="2">
        <v>36</v>
      </c>
      <c r="G112" s="2">
        <v>30</v>
      </c>
      <c r="H112" s="3">
        <v>28</v>
      </c>
      <c r="I112" s="2" t="str">
        <f t="shared" si="7"/>
        <v>兔</v>
      </c>
      <c r="J112" s="4">
        <f>IF(H112="","",IF(OR(AND(M112&lt;&gt;"",M112=IFERROR(INDEX($M$3:M111,MIN(IF(COUNTIF($M$3:M111,"0")=0,10^9,LOOKUP(2,1/($M$3:M111="0"),ROW($M$3:M111))),IF(COUNTIF($M$3:M111,"1")=0,10^9,LOOKUP(2,1/($M$3:M111="1"),ROW($M$3:M111))),IF(COUNTIF($M$3:M111,"2")=0,10^9,LOOKUP(2,1/($M$3:M111="2"),ROW($M$3:M111))),IF(COUNTIF($M$3:M111,"3")=0,10^9,LOOKUP(2,1/($M$3:M111="3"),ROW($M$3:M111))),IF(COUNTIF($M$3:M111,"4")=0,10^9,LOOKUP(2,1/($M$3:M111="4"),ROW($M$3:M111))),IF(COUNTIF($M$3:M111,"5")=0,10^9,LOOKUP(2,1/($M$3:M111="5"),ROW($M$3:M111))),IF(COUNTIF($M$3:M111,"6")=0,10^9,LOOKUP(2,1/($M$3:M111="6"),ROW($M$3:M111))),IF(COUNTIF($M$3:M111,"7")=0,10^9,LOOKUP(2,1/($M$3:M111="7"),ROW($M$3:M111))),IF(COUNTIF($M$3:M111,"8")=0,10^9,LOOKUP(2,1/($M$3:M111="8"),ROW($M$3:M111))),IF(COUNTIF($M$3:M111,"9")=0,10^9,LOOKUP(2,1/($M$3:M111="9"),ROW($M$3:M111))))-ROW($M$3)+1),"")),AND(N112&lt;&gt;"",N112=IFERROR(INDEX($N$3:N111,MIN(IF(COUNTIF($N$3:N111,"鼠")=0,10^9,LOOKUP(2,1/($N$3:N111="鼠"),ROW($N$3:N111))),IF(COUNTIF($N$3:N111,"牛")=0,10^9,LOOKUP(2,1/($N$3:N111="牛"),ROW($N$3:N111))),IF(COUNTIF($N$3:N111,"虎")=0,10^9,LOOKUP(2,1/($N$3:N111="虎"),ROW($N$3:N111))),IF(COUNTIF($N$3:N111,"兔")=0,10^9,LOOKUP(2,1/($N$3:N111="兔"),ROW($N$3:N111))),IF(COUNTIF($N$3:N111,"龙")=0,10^9,LOOKUP(2,1/($N$3:N111="龙"),ROW($N$3:N111))),IF(COUNTIF($N$3:N111,"蛇")=0,10^9,LOOKUP(2,1/($N$3:N111="蛇"),ROW($N$3:N111))),IF(COUNTIF($N$3:N111,"马")=0,10^9,LOOKUP(2,1/($N$3:N111="马"),ROW($N$3:N111))),IF(COUNTIF($N$3:N111,"羊")=0,10^9,LOOKUP(2,1/($N$3:N111="羊"),ROW($N$3:N111))),IF(COUNTIF($N$3:N111,"猴")=0,10^9,LOOKUP(2,1/($N$3:N111="猴"),ROW($N$3:N111))),IF(COUNTIF($N$3:N111,"鸡")=0,10^9,LOOKUP(2,1/($N$3:N111="鸡"),ROW($N$3:N111))),IF(COUNTIF($N$3:N111,"狗")=0,10^9,LOOKUP(2,1/($N$3:N111="狗"),ROW($N$3:N111))),IF(COUNTIF($N$3:N111,"猪")=0,10^9,LOOKUP(2,1/($N$3:N111="猪"),ROW($N$3:N111))))-ROW($N$3)+1),""))),0,IF(ISNUMBER(J111),J111+1,1)))</f>
        <v>0</v>
      </c>
      <c r="K112" s="5">
        <f t="shared" si="12"/>
        <v>39</v>
      </c>
      <c r="M112" s="6" t="str">
        <f t="shared" si="8"/>
        <v>8</v>
      </c>
      <c r="N112" s="2" t="str">
        <f t="shared" si="9"/>
        <v>兔</v>
      </c>
      <c r="O112" s="7" t="str">
        <f>IF(M112="","",IF(COUNTIF(M113:$M$1000,M112)&gt;0,"",M112))</f>
        <v>8</v>
      </c>
      <c r="P112" s="8" t="str">
        <f>IF(N112="","",IF(COUNTIF(N113:$N$1000,N112)&gt;0,"",N112))</f>
        <v/>
      </c>
      <c r="Q112" s="21">
        <f t="shared" si="10"/>
        <v>113</v>
      </c>
      <c r="R112" s="22" t="str">
        <f t="shared" si="11"/>
        <v>虎</v>
      </c>
      <c r="X112" s="2">
        <v>131</v>
      </c>
      <c r="Y112" s="2" t="s">
        <v>26</v>
      </c>
    </row>
    <row r="113" s="1" customFormat="1" spans="1:25">
      <c r="A113" s="2">
        <v>115056748</v>
      </c>
      <c r="B113" s="2">
        <v>10</v>
      </c>
      <c r="C113" s="2">
        <v>23</v>
      </c>
      <c r="D113" s="2">
        <v>38</v>
      </c>
      <c r="E113" s="2">
        <v>47</v>
      </c>
      <c r="F113" s="2">
        <v>39</v>
      </c>
      <c r="G113" s="2">
        <v>5</v>
      </c>
      <c r="H113" s="3">
        <v>20</v>
      </c>
      <c r="I113" s="2" t="str">
        <f t="shared" si="7"/>
        <v>猪</v>
      </c>
      <c r="J113" s="4">
        <f>IF(H113="","",IF(OR(AND(M113&lt;&gt;"",M113=IFERROR(INDEX($M$3:M112,MIN(IF(COUNTIF($M$3:M112,"0")=0,10^9,LOOKUP(2,1/($M$3:M112="0"),ROW($M$3:M112))),IF(COUNTIF($M$3:M112,"1")=0,10^9,LOOKUP(2,1/($M$3:M112="1"),ROW($M$3:M112))),IF(COUNTIF($M$3:M112,"2")=0,10^9,LOOKUP(2,1/($M$3:M112="2"),ROW($M$3:M112))),IF(COUNTIF($M$3:M112,"3")=0,10^9,LOOKUP(2,1/($M$3:M112="3"),ROW($M$3:M112))),IF(COUNTIF($M$3:M112,"4")=0,10^9,LOOKUP(2,1/($M$3:M112="4"),ROW($M$3:M112))),IF(COUNTIF($M$3:M112,"5")=0,10^9,LOOKUP(2,1/($M$3:M112="5"),ROW($M$3:M112))),IF(COUNTIF($M$3:M112,"6")=0,10^9,LOOKUP(2,1/($M$3:M112="6"),ROW($M$3:M112))),IF(COUNTIF($M$3:M112,"7")=0,10^9,LOOKUP(2,1/($M$3:M112="7"),ROW($M$3:M112))),IF(COUNTIF($M$3:M112,"8")=0,10^9,LOOKUP(2,1/($M$3:M112="8"),ROW($M$3:M112))),IF(COUNTIF($M$3:M112,"9")=0,10^9,LOOKUP(2,1/($M$3:M112="9"),ROW($M$3:M112))))-ROW($M$3)+1),"")),AND(N113&lt;&gt;"",N113=IFERROR(INDEX($N$3:N112,MIN(IF(COUNTIF($N$3:N112,"鼠")=0,10^9,LOOKUP(2,1/($N$3:N112="鼠"),ROW($N$3:N112))),IF(COUNTIF($N$3:N112,"牛")=0,10^9,LOOKUP(2,1/($N$3:N112="牛"),ROW($N$3:N112))),IF(COUNTIF($N$3:N112,"虎")=0,10^9,LOOKUP(2,1/($N$3:N112="虎"),ROW($N$3:N112))),IF(COUNTIF($N$3:N112,"兔")=0,10^9,LOOKUP(2,1/($N$3:N112="兔"),ROW($N$3:N112))),IF(COUNTIF($N$3:N112,"龙")=0,10^9,LOOKUP(2,1/($N$3:N112="龙"),ROW($N$3:N112))),IF(COUNTIF($N$3:N112,"蛇")=0,10^9,LOOKUP(2,1/($N$3:N112="蛇"),ROW($N$3:N112))),IF(COUNTIF($N$3:N112,"马")=0,10^9,LOOKUP(2,1/($N$3:N112="马"),ROW($N$3:N112))),IF(COUNTIF($N$3:N112,"羊")=0,10^9,LOOKUP(2,1/($N$3:N112="羊"),ROW($N$3:N112))),IF(COUNTIF($N$3:N112,"猴")=0,10^9,LOOKUP(2,1/($N$3:N112="猴"),ROW($N$3:N112))),IF(COUNTIF($N$3:N112,"鸡")=0,10^9,LOOKUP(2,1/($N$3:N112="鸡"),ROW($N$3:N112))),IF(COUNTIF($N$3:N112,"狗")=0,10^9,LOOKUP(2,1/($N$3:N112="狗"),ROW($N$3:N112))),IF(COUNTIF($N$3:N112,"猪")=0,10^9,LOOKUP(2,1/($N$3:N112="猪"),ROW($N$3:N112))))-ROW($N$3)+1),""))),0,IF(ISNUMBER(J112),J112+1,1)))</f>
        <v>1</v>
      </c>
      <c r="K113" s="5">
        <f t="shared" si="12"/>
        <v>40</v>
      </c>
      <c r="M113" s="6" t="str">
        <f t="shared" si="8"/>
        <v>0</v>
      </c>
      <c r="N113" s="2" t="str">
        <f t="shared" si="9"/>
        <v>猪</v>
      </c>
      <c r="O113" s="7" t="str">
        <f>IF(M113="","",IF(COUNTIF(M114:$M$1000,M113)&gt;0,"",M113))</f>
        <v/>
      </c>
      <c r="P113" s="8" t="str">
        <f>IF(N113="","",IF(COUNTIF(N114:$N$1000,N113)&gt;0,"",N113))</f>
        <v/>
      </c>
      <c r="Q113" s="21">
        <f t="shared" si="10"/>
        <v>110</v>
      </c>
      <c r="R113" s="22" t="str">
        <f t="shared" si="11"/>
        <v>蛇</v>
      </c>
      <c r="X113" s="2">
        <v>58</v>
      </c>
      <c r="Y113" s="2" t="s">
        <v>27</v>
      </c>
    </row>
    <row r="114" s="1" customFormat="1" spans="1:25">
      <c r="A114" s="2">
        <v>115056749</v>
      </c>
      <c r="B114" s="2">
        <v>27</v>
      </c>
      <c r="C114" s="2">
        <v>15</v>
      </c>
      <c r="D114" s="2">
        <v>22</v>
      </c>
      <c r="E114" s="2">
        <v>18</v>
      </c>
      <c r="F114" s="2">
        <v>42</v>
      </c>
      <c r="G114" s="2">
        <v>33</v>
      </c>
      <c r="H114" s="3">
        <v>20</v>
      </c>
      <c r="I114" s="2" t="str">
        <f t="shared" si="7"/>
        <v>猪</v>
      </c>
      <c r="J114" s="4">
        <f>IF(H114="","",IF(OR(AND(M114&lt;&gt;"",M114=IFERROR(INDEX($M$3:M113,MIN(IF(COUNTIF($M$3:M113,"0")=0,10^9,LOOKUP(2,1/($M$3:M113="0"),ROW($M$3:M113))),IF(COUNTIF($M$3:M113,"1")=0,10^9,LOOKUP(2,1/($M$3:M113="1"),ROW($M$3:M113))),IF(COUNTIF($M$3:M113,"2")=0,10^9,LOOKUP(2,1/($M$3:M113="2"),ROW($M$3:M113))),IF(COUNTIF($M$3:M113,"3")=0,10^9,LOOKUP(2,1/($M$3:M113="3"),ROW($M$3:M113))),IF(COUNTIF($M$3:M113,"4")=0,10^9,LOOKUP(2,1/($M$3:M113="4"),ROW($M$3:M113))),IF(COUNTIF($M$3:M113,"5")=0,10^9,LOOKUP(2,1/($M$3:M113="5"),ROW($M$3:M113))),IF(COUNTIF($M$3:M113,"6")=0,10^9,LOOKUP(2,1/($M$3:M113="6"),ROW($M$3:M113))),IF(COUNTIF($M$3:M113,"7")=0,10^9,LOOKUP(2,1/($M$3:M113="7"),ROW($M$3:M113))),IF(COUNTIF($M$3:M113,"8")=0,10^9,LOOKUP(2,1/($M$3:M113="8"),ROW($M$3:M113))),IF(COUNTIF($M$3:M113,"9")=0,10^9,LOOKUP(2,1/($M$3:M113="9"),ROW($M$3:M113))))-ROW($M$3)+1),"")),AND(N114&lt;&gt;"",N114=IFERROR(INDEX($N$3:N113,MIN(IF(COUNTIF($N$3:N113,"鼠")=0,10^9,LOOKUP(2,1/($N$3:N113="鼠"),ROW($N$3:N113))),IF(COUNTIF($N$3:N113,"牛")=0,10^9,LOOKUP(2,1/($N$3:N113="牛"),ROW($N$3:N113))),IF(COUNTIF($N$3:N113,"虎")=0,10^9,LOOKUP(2,1/($N$3:N113="虎"),ROW($N$3:N113))),IF(COUNTIF($N$3:N113,"兔")=0,10^9,LOOKUP(2,1/($N$3:N113="兔"),ROW($N$3:N113))),IF(COUNTIF($N$3:N113,"龙")=0,10^9,LOOKUP(2,1/($N$3:N113="龙"),ROW($N$3:N113))),IF(COUNTIF($N$3:N113,"蛇")=0,10^9,LOOKUP(2,1/($N$3:N113="蛇"),ROW($N$3:N113))),IF(COUNTIF($N$3:N113,"马")=0,10^9,LOOKUP(2,1/($N$3:N113="马"),ROW($N$3:N113))),IF(COUNTIF($N$3:N113,"羊")=0,10^9,LOOKUP(2,1/($N$3:N113="羊"),ROW($N$3:N113))),IF(COUNTIF($N$3:N113,"猴")=0,10^9,LOOKUP(2,1/($N$3:N113="猴"),ROW($N$3:N113))),IF(COUNTIF($N$3:N113,"鸡")=0,10^9,LOOKUP(2,1/($N$3:N113="鸡"),ROW($N$3:N113))),IF(COUNTIF($N$3:N113,"狗")=0,10^9,LOOKUP(2,1/($N$3:N113="狗"),ROW($N$3:N113))),IF(COUNTIF($N$3:N113,"猪")=0,10^9,LOOKUP(2,1/($N$3:N113="猪"),ROW($N$3:N113))))-ROW($N$3)+1),""))),0,IF(ISNUMBER(J113),J113+1,1)))</f>
        <v>2</v>
      </c>
      <c r="K114" s="5">
        <f t="shared" si="12"/>
        <v>41</v>
      </c>
      <c r="M114" s="6" t="str">
        <f t="shared" si="8"/>
        <v>0</v>
      </c>
      <c r="N114" s="2" t="str">
        <f t="shared" si="9"/>
        <v>猪</v>
      </c>
      <c r="O114" s="7" t="str">
        <f>IF(M114="","",IF(COUNTIF(M115:$M$1000,M114)&gt;0,"",M114))</f>
        <v/>
      </c>
      <c r="P114" s="8" t="str">
        <f>IF(N114="","",IF(COUNTIF(N115:$N$1000,N114)&gt;0,"",N114))</f>
        <v/>
      </c>
      <c r="Q114" s="21">
        <f t="shared" si="10"/>
        <v>92</v>
      </c>
      <c r="R114" s="22" t="str">
        <f t="shared" si="11"/>
        <v>猪</v>
      </c>
      <c r="X114" s="2">
        <v>70</v>
      </c>
      <c r="Y114" s="2" t="s">
        <v>27</v>
      </c>
    </row>
    <row r="115" s="1" customFormat="1" spans="1:25">
      <c r="A115" s="2">
        <v>115056750</v>
      </c>
      <c r="B115" s="2">
        <v>40</v>
      </c>
      <c r="C115" s="2">
        <v>27</v>
      </c>
      <c r="D115" s="2">
        <v>30</v>
      </c>
      <c r="E115" s="2">
        <v>21</v>
      </c>
      <c r="F115" s="2">
        <v>6</v>
      </c>
      <c r="G115" s="2">
        <v>15</v>
      </c>
      <c r="H115" s="3">
        <v>46</v>
      </c>
      <c r="I115" s="2" t="str">
        <f t="shared" si="7"/>
        <v>鸡</v>
      </c>
      <c r="J115" s="4">
        <f>IF(H115="","",IF(OR(AND(M115&lt;&gt;"",M115=IFERROR(INDEX($M$3:M114,MIN(IF(COUNTIF($M$3:M114,"0")=0,10^9,LOOKUP(2,1/($M$3:M114="0"),ROW($M$3:M114))),IF(COUNTIF($M$3:M114,"1")=0,10^9,LOOKUP(2,1/($M$3:M114="1"),ROW($M$3:M114))),IF(COUNTIF($M$3:M114,"2")=0,10^9,LOOKUP(2,1/($M$3:M114="2"),ROW($M$3:M114))),IF(COUNTIF($M$3:M114,"3")=0,10^9,LOOKUP(2,1/($M$3:M114="3"),ROW($M$3:M114))),IF(COUNTIF($M$3:M114,"4")=0,10^9,LOOKUP(2,1/($M$3:M114="4"),ROW($M$3:M114))),IF(COUNTIF($M$3:M114,"5")=0,10^9,LOOKUP(2,1/($M$3:M114="5"),ROW($M$3:M114))),IF(COUNTIF($M$3:M114,"6")=0,10^9,LOOKUP(2,1/($M$3:M114="6"),ROW($M$3:M114))),IF(COUNTIF($M$3:M114,"7")=0,10^9,LOOKUP(2,1/($M$3:M114="7"),ROW($M$3:M114))),IF(COUNTIF($M$3:M114,"8")=0,10^9,LOOKUP(2,1/($M$3:M114="8"),ROW($M$3:M114))),IF(COUNTIF($M$3:M114,"9")=0,10^9,LOOKUP(2,1/($M$3:M114="9"),ROW($M$3:M114))))-ROW($M$3)+1),"")),AND(N115&lt;&gt;"",N115=IFERROR(INDEX($N$3:N114,MIN(IF(COUNTIF($N$3:N114,"鼠")=0,10^9,LOOKUP(2,1/($N$3:N114="鼠"),ROW($N$3:N114))),IF(COUNTIF($N$3:N114,"牛")=0,10^9,LOOKUP(2,1/($N$3:N114="牛"),ROW($N$3:N114))),IF(COUNTIF($N$3:N114,"虎")=0,10^9,LOOKUP(2,1/($N$3:N114="虎"),ROW($N$3:N114))),IF(COUNTIF($N$3:N114,"兔")=0,10^9,LOOKUP(2,1/($N$3:N114="兔"),ROW($N$3:N114))),IF(COUNTIF($N$3:N114,"龙")=0,10^9,LOOKUP(2,1/($N$3:N114="龙"),ROW($N$3:N114))),IF(COUNTIF($N$3:N114,"蛇")=0,10^9,LOOKUP(2,1/($N$3:N114="蛇"),ROW($N$3:N114))),IF(COUNTIF($N$3:N114,"马")=0,10^9,LOOKUP(2,1/($N$3:N114="马"),ROW($N$3:N114))),IF(COUNTIF($N$3:N114,"羊")=0,10^9,LOOKUP(2,1/($N$3:N114="羊"),ROW($N$3:N114))),IF(COUNTIF($N$3:N114,"猴")=0,10^9,LOOKUP(2,1/($N$3:N114="猴"),ROW($N$3:N114))),IF(COUNTIF($N$3:N114,"鸡")=0,10^9,LOOKUP(2,1/($N$3:N114="鸡"),ROW($N$3:N114))),IF(COUNTIF($N$3:N114,"狗")=0,10^9,LOOKUP(2,1/($N$3:N114="狗"),ROW($N$3:N114))),IF(COUNTIF($N$3:N114,"猪")=0,10^9,LOOKUP(2,1/($N$3:N114="猪"),ROW($N$3:N114))))-ROW($N$3)+1),""))),0,IF(ISNUMBER(J114),J114+1,1)))</f>
        <v>3</v>
      </c>
      <c r="K115" s="5">
        <f t="shared" si="12"/>
        <v>42</v>
      </c>
      <c r="M115" s="6" t="str">
        <f t="shared" si="8"/>
        <v>6</v>
      </c>
      <c r="N115" s="2" t="str">
        <f t="shared" si="9"/>
        <v>鸡</v>
      </c>
      <c r="O115" s="7" t="str">
        <f>IF(M115="","",IF(COUNTIF(M116:$M$1000,M115)&gt;0,"",M115))</f>
        <v/>
      </c>
      <c r="P115" s="8" t="str">
        <f>IF(N115="","",IF(COUNTIF(N116:$N$1000,N115)&gt;0,"",N115))</f>
        <v>鸡</v>
      </c>
      <c r="Q115" s="21">
        <f t="shared" si="10"/>
        <v>85</v>
      </c>
      <c r="R115" s="22" t="str">
        <f t="shared" si="11"/>
        <v>马</v>
      </c>
      <c r="X115" s="2">
        <v>82</v>
      </c>
      <c r="Y115" s="2" t="s">
        <v>27</v>
      </c>
    </row>
    <row r="116" s="1" customFormat="1" spans="1:25">
      <c r="A116" s="2">
        <v>115056751</v>
      </c>
      <c r="B116" s="2">
        <v>37</v>
      </c>
      <c r="C116" s="2">
        <v>32</v>
      </c>
      <c r="D116" s="2">
        <v>38</v>
      </c>
      <c r="E116" s="2">
        <v>1</v>
      </c>
      <c r="F116" s="2">
        <v>21</v>
      </c>
      <c r="G116" s="2">
        <v>8</v>
      </c>
      <c r="H116" s="3">
        <v>47</v>
      </c>
      <c r="I116" s="2" t="str">
        <f t="shared" si="7"/>
        <v>猴</v>
      </c>
      <c r="J116" s="4">
        <f>IF(H116="","",IF(OR(AND(M116&lt;&gt;"",M116=IFERROR(INDEX($M$3:M115,MIN(IF(COUNTIF($M$3:M115,"0")=0,10^9,LOOKUP(2,1/($M$3:M115="0"),ROW($M$3:M115))),IF(COUNTIF($M$3:M115,"1")=0,10^9,LOOKUP(2,1/($M$3:M115="1"),ROW($M$3:M115))),IF(COUNTIF($M$3:M115,"2")=0,10^9,LOOKUP(2,1/($M$3:M115="2"),ROW($M$3:M115))),IF(COUNTIF($M$3:M115,"3")=0,10^9,LOOKUP(2,1/($M$3:M115="3"),ROW($M$3:M115))),IF(COUNTIF($M$3:M115,"4")=0,10^9,LOOKUP(2,1/($M$3:M115="4"),ROW($M$3:M115))),IF(COUNTIF($M$3:M115,"5")=0,10^9,LOOKUP(2,1/($M$3:M115="5"),ROW($M$3:M115))),IF(COUNTIF($M$3:M115,"6")=0,10^9,LOOKUP(2,1/($M$3:M115="6"),ROW($M$3:M115))),IF(COUNTIF($M$3:M115,"7")=0,10^9,LOOKUP(2,1/($M$3:M115="7"),ROW($M$3:M115))),IF(COUNTIF($M$3:M115,"8")=0,10^9,LOOKUP(2,1/($M$3:M115="8"),ROW($M$3:M115))),IF(COUNTIF($M$3:M115,"9")=0,10^9,LOOKUP(2,1/($M$3:M115="9"),ROW($M$3:M115))))-ROW($M$3)+1),"")),AND(N116&lt;&gt;"",N116=IFERROR(INDEX($N$3:N115,MIN(IF(COUNTIF($N$3:N115,"鼠")=0,10^9,LOOKUP(2,1/($N$3:N115="鼠"),ROW($N$3:N115))),IF(COUNTIF($N$3:N115,"牛")=0,10^9,LOOKUP(2,1/($N$3:N115="牛"),ROW($N$3:N115))),IF(COUNTIF($N$3:N115,"虎")=0,10^9,LOOKUP(2,1/($N$3:N115="虎"),ROW($N$3:N115))),IF(COUNTIF($N$3:N115,"兔")=0,10^9,LOOKUP(2,1/($N$3:N115="兔"),ROW($N$3:N115))),IF(COUNTIF($N$3:N115,"龙")=0,10^9,LOOKUP(2,1/($N$3:N115="龙"),ROW($N$3:N115))),IF(COUNTIF($N$3:N115,"蛇")=0,10^9,LOOKUP(2,1/($N$3:N115="蛇"),ROW($N$3:N115))),IF(COUNTIF($N$3:N115,"马")=0,10^9,LOOKUP(2,1/($N$3:N115="马"),ROW($N$3:N115))),IF(COUNTIF($N$3:N115,"羊")=0,10^9,LOOKUP(2,1/($N$3:N115="羊"),ROW($N$3:N115))),IF(COUNTIF($N$3:N115,"猴")=0,10^9,LOOKUP(2,1/($N$3:N115="猴"),ROW($N$3:N115))),IF(COUNTIF($N$3:N115,"鸡")=0,10^9,LOOKUP(2,1/($N$3:N115="鸡"),ROW($N$3:N115))),IF(COUNTIF($N$3:N115,"狗")=0,10^9,LOOKUP(2,1/($N$3:N115="狗"),ROW($N$3:N115))),IF(COUNTIF($N$3:N115,"猪")=0,10^9,LOOKUP(2,1/($N$3:N115="猪"),ROW($N$3:N115))))-ROW($N$3)+1),""))),0,IF(ISNUMBER(J115),J115+1,1)))</f>
        <v>4</v>
      </c>
      <c r="K116" s="5">
        <f t="shared" si="12"/>
        <v>43</v>
      </c>
      <c r="M116" s="6" t="str">
        <f t="shared" si="8"/>
        <v>7</v>
      </c>
      <c r="N116" s="2" t="str">
        <f t="shared" si="9"/>
        <v>猴</v>
      </c>
      <c r="O116" s="7" t="str">
        <f>IF(M116="","",IF(COUNTIF(M117:$M$1000,M116)&gt;0,"",M116))</f>
        <v/>
      </c>
      <c r="P116" s="8" t="str">
        <f>IF(N116="","",IF(COUNTIF(N117:$N$1000,N116)&gt;0,"",N116))</f>
        <v/>
      </c>
      <c r="Q116" s="21">
        <f t="shared" si="10"/>
        <v>93</v>
      </c>
      <c r="R116" s="22" t="str">
        <f t="shared" si="11"/>
        <v>狗</v>
      </c>
      <c r="X116" s="2">
        <v>94</v>
      </c>
      <c r="Y116" s="2" t="s">
        <v>27</v>
      </c>
    </row>
    <row r="117" s="1" customFormat="1" spans="1:25">
      <c r="A117" s="2">
        <v>115056752</v>
      </c>
      <c r="B117" s="2">
        <v>20</v>
      </c>
      <c r="C117" s="2">
        <v>46</v>
      </c>
      <c r="D117" s="2">
        <v>29</v>
      </c>
      <c r="E117" s="2">
        <v>35</v>
      </c>
      <c r="F117" s="2">
        <v>47</v>
      </c>
      <c r="G117" s="2">
        <v>36</v>
      </c>
      <c r="H117" s="3">
        <v>19</v>
      </c>
      <c r="I117" s="2" t="str">
        <f t="shared" si="7"/>
        <v>鼠</v>
      </c>
      <c r="J117" s="4">
        <f>IF(H117="","",IF(OR(AND(M117&lt;&gt;"",M117=IFERROR(INDEX($M$3:M116,MIN(IF(COUNTIF($M$3:M116,"0")=0,10^9,LOOKUP(2,1/($M$3:M116="0"),ROW($M$3:M116))),IF(COUNTIF($M$3:M116,"1")=0,10^9,LOOKUP(2,1/($M$3:M116="1"),ROW($M$3:M116))),IF(COUNTIF($M$3:M116,"2")=0,10^9,LOOKUP(2,1/($M$3:M116="2"),ROW($M$3:M116))),IF(COUNTIF($M$3:M116,"3")=0,10^9,LOOKUP(2,1/($M$3:M116="3"),ROW($M$3:M116))),IF(COUNTIF($M$3:M116,"4")=0,10^9,LOOKUP(2,1/($M$3:M116="4"),ROW($M$3:M116))),IF(COUNTIF($M$3:M116,"5")=0,10^9,LOOKUP(2,1/($M$3:M116="5"),ROW($M$3:M116))),IF(COUNTIF($M$3:M116,"6")=0,10^9,LOOKUP(2,1/($M$3:M116="6"),ROW($M$3:M116))),IF(COUNTIF($M$3:M116,"7")=0,10^9,LOOKUP(2,1/($M$3:M116="7"),ROW($M$3:M116))),IF(COUNTIF($M$3:M116,"8")=0,10^9,LOOKUP(2,1/($M$3:M116="8"),ROW($M$3:M116))),IF(COUNTIF($M$3:M116,"9")=0,10^9,LOOKUP(2,1/($M$3:M116="9"),ROW($M$3:M116))))-ROW($M$3)+1),"")),AND(N117&lt;&gt;"",N117=IFERROR(INDEX($N$3:N116,MIN(IF(COUNTIF($N$3:N116,"鼠")=0,10^9,LOOKUP(2,1/($N$3:N116="鼠"),ROW($N$3:N116))),IF(COUNTIF($N$3:N116,"牛")=0,10^9,LOOKUP(2,1/($N$3:N116="牛"),ROW($N$3:N116))),IF(COUNTIF($N$3:N116,"虎")=0,10^9,LOOKUP(2,1/($N$3:N116="虎"),ROW($N$3:N116))),IF(COUNTIF($N$3:N116,"兔")=0,10^9,LOOKUP(2,1/($N$3:N116="兔"),ROW($N$3:N116))),IF(COUNTIF($N$3:N116,"龙")=0,10^9,LOOKUP(2,1/($N$3:N116="龙"),ROW($N$3:N116))),IF(COUNTIF($N$3:N116,"蛇")=0,10^9,LOOKUP(2,1/($N$3:N116="蛇"),ROW($N$3:N116))),IF(COUNTIF($N$3:N116,"马")=0,10^9,LOOKUP(2,1/($N$3:N116="马"),ROW($N$3:N116))),IF(COUNTIF($N$3:N116,"羊")=0,10^9,LOOKUP(2,1/($N$3:N116="羊"),ROW($N$3:N116))),IF(COUNTIF($N$3:N116,"猴")=0,10^9,LOOKUP(2,1/($N$3:N116="猴"),ROW($N$3:N116))),IF(COUNTIF($N$3:N116,"鸡")=0,10^9,LOOKUP(2,1/($N$3:N116="鸡"),ROW($N$3:N116))),IF(COUNTIF($N$3:N116,"狗")=0,10^9,LOOKUP(2,1/($N$3:N116="狗"),ROW($N$3:N116))),IF(COUNTIF($N$3:N116,"猪")=0,10^9,LOOKUP(2,1/($N$3:N116="猪"),ROW($N$3:N116))))-ROW($N$3)+1),""))),0,IF(ISNUMBER(J116),J116+1,1)))</f>
        <v>5</v>
      </c>
      <c r="K117" s="5">
        <f t="shared" si="12"/>
        <v>44</v>
      </c>
      <c r="M117" s="6" t="str">
        <f t="shared" si="8"/>
        <v>9</v>
      </c>
      <c r="N117" s="2" t="str">
        <f t="shared" si="9"/>
        <v>鼠</v>
      </c>
      <c r="O117" s="7" t="str">
        <f>IF(M117="","",IF(COUNTIF(M118:$M$1000,M117)&gt;0,"",M117))</f>
        <v/>
      </c>
      <c r="P117" s="8" t="str">
        <f>IF(N117="","",IF(COUNTIF(N118:$N$1000,N117)&gt;0,"",N117))</f>
        <v/>
      </c>
      <c r="Q117" s="21">
        <f t="shared" si="10"/>
        <v>106</v>
      </c>
      <c r="R117" s="22" t="str">
        <f t="shared" si="11"/>
        <v>鸡</v>
      </c>
      <c r="X117" s="2">
        <v>106</v>
      </c>
      <c r="Y117" s="2" t="s">
        <v>27</v>
      </c>
    </row>
    <row r="118" s="1" customFormat="1" spans="1:25">
      <c r="A118" s="2">
        <v>115056753</v>
      </c>
      <c r="B118" s="2">
        <v>14</v>
      </c>
      <c r="C118" s="2">
        <v>18</v>
      </c>
      <c r="D118" s="2">
        <v>7</v>
      </c>
      <c r="E118" s="2">
        <v>44</v>
      </c>
      <c r="F118" s="2">
        <v>15</v>
      </c>
      <c r="G118" s="2">
        <v>24</v>
      </c>
      <c r="H118" s="3">
        <v>41</v>
      </c>
      <c r="I118" s="2" t="str">
        <f t="shared" si="7"/>
        <v>虎</v>
      </c>
      <c r="J118" s="4">
        <f>IF(H118="","",IF(OR(AND(M118&lt;&gt;"",M118=IFERROR(INDEX($M$3:M117,MIN(IF(COUNTIF($M$3:M117,"0")=0,10^9,LOOKUP(2,1/($M$3:M117="0"),ROW($M$3:M117))),IF(COUNTIF($M$3:M117,"1")=0,10^9,LOOKUP(2,1/($M$3:M117="1"),ROW($M$3:M117))),IF(COUNTIF($M$3:M117,"2")=0,10^9,LOOKUP(2,1/($M$3:M117="2"),ROW($M$3:M117))),IF(COUNTIF($M$3:M117,"3")=0,10^9,LOOKUP(2,1/($M$3:M117="3"),ROW($M$3:M117))),IF(COUNTIF($M$3:M117,"4")=0,10^9,LOOKUP(2,1/($M$3:M117="4"),ROW($M$3:M117))),IF(COUNTIF($M$3:M117,"5")=0,10^9,LOOKUP(2,1/($M$3:M117="5"),ROW($M$3:M117))),IF(COUNTIF($M$3:M117,"6")=0,10^9,LOOKUP(2,1/($M$3:M117="6"),ROW($M$3:M117))),IF(COUNTIF($M$3:M117,"7")=0,10^9,LOOKUP(2,1/($M$3:M117="7"),ROW($M$3:M117))),IF(COUNTIF($M$3:M117,"8")=0,10^9,LOOKUP(2,1/($M$3:M117="8"),ROW($M$3:M117))),IF(COUNTIF($M$3:M117,"9")=0,10^9,LOOKUP(2,1/($M$3:M117="9"),ROW($M$3:M117))))-ROW($M$3)+1),"")),AND(N118&lt;&gt;"",N118=IFERROR(INDEX($N$3:N117,MIN(IF(COUNTIF($N$3:N117,"鼠")=0,10^9,LOOKUP(2,1/($N$3:N117="鼠"),ROW($N$3:N117))),IF(COUNTIF($N$3:N117,"牛")=0,10^9,LOOKUP(2,1/($N$3:N117="牛"),ROW($N$3:N117))),IF(COUNTIF($N$3:N117,"虎")=0,10^9,LOOKUP(2,1/($N$3:N117="虎"),ROW($N$3:N117))),IF(COUNTIF($N$3:N117,"兔")=0,10^9,LOOKUP(2,1/($N$3:N117="兔"),ROW($N$3:N117))),IF(COUNTIF($N$3:N117,"龙")=0,10^9,LOOKUP(2,1/($N$3:N117="龙"),ROW($N$3:N117))),IF(COUNTIF($N$3:N117,"蛇")=0,10^9,LOOKUP(2,1/($N$3:N117="蛇"),ROW($N$3:N117))),IF(COUNTIF($N$3:N117,"马")=0,10^9,LOOKUP(2,1/($N$3:N117="马"),ROW($N$3:N117))),IF(COUNTIF($N$3:N117,"羊")=0,10^9,LOOKUP(2,1/($N$3:N117="羊"),ROW($N$3:N117))),IF(COUNTIF($N$3:N117,"猴")=0,10^9,LOOKUP(2,1/($N$3:N117="猴"),ROW($N$3:N117))),IF(COUNTIF($N$3:N117,"鸡")=0,10^9,LOOKUP(2,1/($N$3:N117="鸡"),ROW($N$3:N117))),IF(COUNTIF($N$3:N117,"狗")=0,10^9,LOOKUP(2,1/($N$3:N117="狗"),ROW($N$3:N117))),IF(COUNTIF($N$3:N117,"猪")=0,10^9,LOOKUP(2,1/($N$3:N117="猪"),ROW($N$3:N117))))-ROW($N$3)+1),""))),0,IF(ISNUMBER(J117),J117+1,1)))</f>
        <v>0</v>
      </c>
      <c r="K118" s="5">
        <f t="shared" si="12"/>
        <v>45</v>
      </c>
      <c r="M118" s="6" t="str">
        <f t="shared" si="8"/>
        <v>1</v>
      </c>
      <c r="N118" s="2" t="str">
        <f t="shared" si="9"/>
        <v>虎</v>
      </c>
      <c r="O118" s="7" t="str">
        <f>IF(M118="","",IF(COUNTIF(M119:$M$1000,M118)&gt;0,"",M118))</f>
        <v/>
      </c>
      <c r="P118" s="8" t="str">
        <f>IF(N118="","",IF(COUNTIF(N119:$N$1000,N118)&gt;0,"",N118))</f>
        <v/>
      </c>
      <c r="Q118" s="21">
        <f t="shared" si="10"/>
        <v>86</v>
      </c>
      <c r="R118" s="22" t="str">
        <f t="shared" si="11"/>
        <v>蛇</v>
      </c>
      <c r="X118" s="2">
        <v>118</v>
      </c>
      <c r="Y118" s="2" t="s">
        <v>27</v>
      </c>
    </row>
    <row r="119" s="1" customFormat="1" spans="1:25">
      <c r="A119" s="2">
        <v>115056754</v>
      </c>
      <c r="B119" s="2">
        <v>36</v>
      </c>
      <c r="C119" s="2">
        <v>15</v>
      </c>
      <c r="D119" s="2">
        <v>10</v>
      </c>
      <c r="E119" s="2">
        <v>9</v>
      </c>
      <c r="F119" s="2">
        <v>39</v>
      </c>
      <c r="G119" s="2">
        <v>19</v>
      </c>
      <c r="H119" s="3">
        <v>21</v>
      </c>
      <c r="I119" s="2" t="str">
        <f t="shared" si="7"/>
        <v>狗</v>
      </c>
      <c r="J119" s="4">
        <f>IF(H119="","",IF(OR(AND(M119&lt;&gt;"",M119=IFERROR(INDEX($M$3:M118,MIN(IF(COUNTIF($M$3:M118,"0")=0,10^9,LOOKUP(2,1/($M$3:M118="0"),ROW($M$3:M118))),IF(COUNTIF($M$3:M118,"1")=0,10^9,LOOKUP(2,1/($M$3:M118="1"),ROW($M$3:M118))),IF(COUNTIF($M$3:M118,"2")=0,10^9,LOOKUP(2,1/($M$3:M118="2"),ROW($M$3:M118))),IF(COUNTIF($M$3:M118,"3")=0,10^9,LOOKUP(2,1/($M$3:M118="3"),ROW($M$3:M118))),IF(COUNTIF($M$3:M118,"4")=0,10^9,LOOKUP(2,1/($M$3:M118="4"),ROW($M$3:M118))),IF(COUNTIF($M$3:M118,"5")=0,10^9,LOOKUP(2,1/($M$3:M118="5"),ROW($M$3:M118))),IF(COUNTIF($M$3:M118,"6")=0,10^9,LOOKUP(2,1/($M$3:M118="6"),ROW($M$3:M118))),IF(COUNTIF($M$3:M118,"7")=0,10^9,LOOKUP(2,1/($M$3:M118="7"),ROW($M$3:M118))),IF(COUNTIF($M$3:M118,"8")=0,10^9,LOOKUP(2,1/($M$3:M118="8"),ROW($M$3:M118))),IF(COUNTIF($M$3:M118,"9")=0,10^9,LOOKUP(2,1/($M$3:M118="9"),ROW($M$3:M118))))-ROW($M$3)+1),"")),AND(N119&lt;&gt;"",N119=IFERROR(INDEX($N$3:N118,MIN(IF(COUNTIF($N$3:N118,"鼠")=0,10^9,LOOKUP(2,1/($N$3:N118="鼠"),ROW($N$3:N118))),IF(COUNTIF($N$3:N118,"牛")=0,10^9,LOOKUP(2,1/($N$3:N118="牛"),ROW($N$3:N118))),IF(COUNTIF($N$3:N118,"虎")=0,10^9,LOOKUP(2,1/($N$3:N118="虎"),ROW($N$3:N118))),IF(COUNTIF($N$3:N118,"兔")=0,10^9,LOOKUP(2,1/($N$3:N118="兔"),ROW($N$3:N118))),IF(COUNTIF($N$3:N118,"龙")=0,10^9,LOOKUP(2,1/($N$3:N118="龙"),ROW($N$3:N118))),IF(COUNTIF($N$3:N118,"蛇")=0,10^9,LOOKUP(2,1/($N$3:N118="蛇"),ROW($N$3:N118))),IF(COUNTIF($N$3:N118,"马")=0,10^9,LOOKUP(2,1/($N$3:N118="马"),ROW($N$3:N118))),IF(COUNTIF($N$3:N118,"羊")=0,10^9,LOOKUP(2,1/($N$3:N118="羊"),ROW($N$3:N118))),IF(COUNTIF($N$3:N118,"猴")=0,10^9,LOOKUP(2,1/($N$3:N118="猴"),ROW($N$3:N118))),IF(COUNTIF($N$3:N118,"鸡")=0,10^9,LOOKUP(2,1/($N$3:N118="鸡"),ROW($N$3:N118))),IF(COUNTIF($N$3:N118,"狗")=0,10^9,LOOKUP(2,1/($N$3:N118="狗"),ROW($N$3:N118))),IF(COUNTIF($N$3:N118,"猪")=0,10^9,LOOKUP(2,1/($N$3:N118="猪"),ROW($N$3:N118))))-ROW($N$3)+1),""))),0,IF(ISNUMBER(J118),J118+1,1)))</f>
        <v>1</v>
      </c>
      <c r="K119" s="5">
        <f t="shared" si="12"/>
        <v>46</v>
      </c>
      <c r="M119" s="6" t="str">
        <f t="shared" si="8"/>
        <v>1</v>
      </c>
      <c r="N119" s="2" t="str">
        <f t="shared" si="9"/>
        <v>狗</v>
      </c>
      <c r="O119" s="7" t="str">
        <f>IF(M119="","",IF(COUNTIF(M120:$M$1000,M119)&gt;0,"",M119))</f>
        <v/>
      </c>
      <c r="P119" s="8" t="str">
        <f>IF(N119="","",IF(COUNTIF(N120:$N$1000,N119)&gt;0,"",N119))</f>
        <v/>
      </c>
      <c r="Q119" s="21">
        <f t="shared" si="10"/>
        <v>89</v>
      </c>
      <c r="R119" s="22" t="str">
        <f t="shared" si="11"/>
        <v>虎</v>
      </c>
      <c r="X119" s="2">
        <v>130</v>
      </c>
      <c r="Y119" s="2" t="s">
        <v>27</v>
      </c>
    </row>
    <row r="120" s="1" customFormat="1" spans="1:25">
      <c r="A120" s="2">
        <v>115056755</v>
      </c>
      <c r="B120" s="2">
        <v>10</v>
      </c>
      <c r="C120" s="2">
        <v>16</v>
      </c>
      <c r="D120" s="2">
        <v>29</v>
      </c>
      <c r="E120" s="2">
        <v>26</v>
      </c>
      <c r="F120" s="2">
        <v>20</v>
      </c>
      <c r="G120" s="2">
        <v>47</v>
      </c>
      <c r="H120" s="3">
        <v>44</v>
      </c>
      <c r="I120" s="2" t="str">
        <f t="shared" si="7"/>
        <v>猪</v>
      </c>
      <c r="J120" s="4">
        <f>IF(H120="","",IF(OR(AND(M120&lt;&gt;"",M120=IFERROR(INDEX($M$3:M119,MIN(IF(COUNTIF($M$3:M119,"0")=0,10^9,LOOKUP(2,1/($M$3:M119="0"),ROW($M$3:M119))),IF(COUNTIF($M$3:M119,"1")=0,10^9,LOOKUP(2,1/($M$3:M119="1"),ROW($M$3:M119))),IF(COUNTIF($M$3:M119,"2")=0,10^9,LOOKUP(2,1/($M$3:M119="2"),ROW($M$3:M119))),IF(COUNTIF($M$3:M119,"3")=0,10^9,LOOKUP(2,1/($M$3:M119="3"),ROW($M$3:M119))),IF(COUNTIF($M$3:M119,"4")=0,10^9,LOOKUP(2,1/($M$3:M119="4"),ROW($M$3:M119))),IF(COUNTIF($M$3:M119,"5")=0,10^9,LOOKUP(2,1/($M$3:M119="5"),ROW($M$3:M119))),IF(COUNTIF($M$3:M119,"6")=0,10^9,LOOKUP(2,1/($M$3:M119="6"),ROW($M$3:M119))),IF(COUNTIF($M$3:M119,"7")=0,10^9,LOOKUP(2,1/($M$3:M119="7"),ROW($M$3:M119))),IF(COUNTIF($M$3:M119,"8")=0,10^9,LOOKUP(2,1/($M$3:M119="8"),ROW($M$3:M119))),IF(COUNTIF($M$3:M119,"9")=0,10^9,LOOKUP(2,1/($M$3:M119="9"),ROW($M$3:M119))))-ROW($M$3)+1),"")),AND(N120&lt;&gt;"",N120=IFERROR(INDEX($N$3:N119,MIN(IF(COUNTIF($N$3:N119,"鼠")=0,10^9,LOOKUP(2,1/($N$3:N119="鼠"),ROW($N$3:N119))),IF(COUNTIF($N$3:N119,"牛")=0,10^9,LOOKUP(2,1/($N$3:N119="牛"),ROW($N$3:N119))),IF(COUNTIF($N$3:N119,"虎")=0,10^9,LOOKUP(2,1/($N$3:N119="虎"),ROW($N$3:N119))),IF(COUNTIF($N$3:N119,"兔")=0,10^9,LOOKUP(2,1/($N$3:N119="兔"),ROW($N$3:N119))),IF(COUNTIF($N$3:N119,"龙")=0,10^9,LOOKUP(2,1/($N$3:N119="龙"),ROW($N$3:N119))),IF(COUNTIF($N$3:N119,"蛇")=0,10^9,LOOKUP(2,1/($N$3:N119="蛇"),ROW($N$3:N119))),IF(COUNTIF($N$3:N119,"马")=0,10^9,LOOKUP(2,1/($N$3:N119="马"),ROW($N$3:N119))),IF(COUNTIF($N$3:N119,"羊")=0,10^9,LOOKUP(2,1/($N$3:N119="羊"),ROW($N$3:N119))),IF(COUNTIF($N$3:N119,"猴")=0,10^9,LOOKUP(2,1/($N$3:N119="猴"),ROW($N$3:N119))),IF(COUNTIF($N$3:N119,"鸡")=0,10^9,LOOKUP(2,1/($N$3:N119="鸡"),ROW($N$3:N119))),IF(COUNTIF($N$3:N119,"狗")=0,10^9,LOOKUP(2,1/($N$3:N119="狗"),ROW($N$3:N119))),IF(COUNTIF($N$3:N119,"猪")=0,10^9,LOOKUP(2,1/($N$3:N119="猪"),ROW($N$3:N119))))-ROW($N$3)+1),""))),0,IF(ISNUMBER(J119),J119+1,1)))</f>
        <v>0</v>
      </c>
      <c r="K120" s="5">
        <f t="shared" si="12"/>
        <v>47</v>
      </c>
      <c r="M120" s="6" t="str">
        <f t="shared" si="8"/>
        <v>4</v>
      </c>
      <c r="N120" s="2" t="str">
        <f t="shared" si="9"/>
        <v>猪</v>
      </c>
      <c r="O120" s="7" t="str">
        <f>IF(M120="","",IF(COUNTIF(M121:$M$1000,M120)&gt;0,"",M120))</f>
        <v/>
      </c>
      <c r="P120" s="8" t="str">
        <f>IF(N120="","",IF(COUNTIF(N121:$N$1000,N120)&gt;0,"",N120))</f>
        <v/>
      </c>
      <c r="Q120" s="21">
        <f t="shared" si="10"/>
        <v>96</v>
      </c>
      <c r="R120" s="22" t="str">
        <f t="shared" si="11"/>
        <v>羊</v>
      </c>
      <c r="X120" s="2">
        <v>57</v>
      </c>
      <c r="Y120" s="2" t="s">
        <v>28</v>
      </c>
    </row>
    <row r="121" s="1" customFormat="1" spans="1:25">
      <c r="A121" s="2">
        <v>115056756</v>
      </c>
      <c r="B121" s="2">
        <v>43</v>
      </c>
      <c r="C121" s="2">
        <v>9</v>
      </c>
      <c r="D121" s="2">
        <v>12</v>
      </c>
      <c r="E121" s="2">
        <v>40</v>
      </c>
      <c r="F121" s="2">
        <v>28</v>
      </c>
      <c r="G121" s="2">
        <v>36</v>
      </c>
      <c r="H121" s="3">
        <v>26</v>
      </c>
      <c r="I121" s="2" t="str">
        <f t="shared" si="7"/>
        <v>蛇</v>
      </c>
      <c r="J121" s="4">
        <f>IF(H121="","",IF(OR(AND(M121&lt;&gt;"",M121=IFERROR(INDEX($M$3:M120,MIN(IF(COUNTIF($M$3:M120,"0")=0,10^9,LOOKUP(2,1/($M$3:M120="0"),ROW($M$3:M120))),IF(COUNTIF($M$3:M120,"1")=0,10^9,LOOKUP(2,1/($M$3:M120="1"),ROW($M$3:M120))),IF(COUNTIF($M$3:M120,"2")=0,10^9,LOOKUP(2,1/($M$3:M120="2"),ROW($M$3:M120))),IF(COUNTIF($M$3:M120,"3")=0,10^9,LOOKUP(2,1/($M$3:M120="3"),ROW($M$3:M120))),IF(COUNTIF($M$3:M120,"4")=0,10^9,LOOKUP(2,1/($M$3:M120="4"),ROW($M$3:M120))),IF(COUNTIF($M$3:M120,"5")=0,10^9,LOOKUP(2,1/($M$3:M120="5"),ROW($M$3:M120))),IF(COUNTIF($M$3:M120,"6")=0,10^9,LOOKUP(2,1/($M$3:M120="6"),ROW($M$3:M120))),IF(COUNTIF($M$3:M120,"7")=0,10^9,LOOKUP(2,1/($M$3:M120="7"),ROW($M$3:M120))),IF(COUNTIF($M$3:M120,"8")=0,10^9,LOOKUP(2,1/($M$3:M120="8"),ROW($M$3:M120))),IF(COUNTIF($M$3:M120,"9")=0,10^9,LOOKUP(2,1/($M$3:M120="9"),ROW($M$3:M120))))-ROW($M$3)+1),"")),AND(N121&lt;&gt;"",N121=IFERROR(INDEX($N$3:N120,MIN(IF(COUNTIF($N$3:N120,"鼠")=0,10^9,LOOKUP(2,1/($N$3:N120="鼠"),ROW($N$3:N120))),IF(COUNTIF($N$3:N120,"牛")=0,10^9,LOOKUP(2,1/($N$3:N120="牛"),ROW($N$3:N120))),IF(COUNTIF($N$3:N120,"虎")=0,10^9,LOOKUP(2,1/($N$3:N120="虎"),ROW($N$3:N120))),IF(COUNTIF($N$3:N120,"兔")=0,10^9,LOOKUP(2,1/($N$3:N120="兔"),ROW($N$3:N120))),IF(COUNTIF($N$3:N120,"龙")=0,10^9,LOOKUP(2,1/($N$3:N120="龙"),ROW($N$3:N120))),IF(COUNTIF($N$3:N120,"蛇")=0,10^9,LOOKUP(2,1/($N$3:N120="蛇"),ROW($N$3:N120))),IF(COUNTIF($N$3:N120,"马")=0,10^9,LOOKUP(2,1/($N$3:N120="马"),ROW($N$3:N120))),IF(COUNTIF($N$3:N120,"羊")=0,10^9,LOOKUP(2,1/($N$3:N120="羊"),ROW($N$3:N120))),IF(COUNTIF($N$3:N120,"猴")=0,10^9,LOOKUP(2,1/($N$3:N120="猴"),ROW($N$3:N120))),IF(COUNTIF($N$3:N120,"鸡")=0,10^9,LOOKUP(2,1/($N$3:N120="鸡"),ROW($N$3:N120))),IF(COUNTIF($N$3:N120,"狗")=0,10^9,LOOKUP(2,1/($N$3:N120="狗"),ROW($N$3:N120))),IF(COUNTIF($N$3:N120,"猪")=0,10^9,LOOKUP(2,1/($N$3:N120="猪"),ROW($N$3:N120))))-ROW($N$3)+1),""))),0,IF(ISNUMBER(J120),J120+1,1)))</f>
        <v>1</v>
      </c>
      <c r="K121" s="5">
        <f t="shared" si="12"/>
        <v>48</v>
      </c>
      <c r="M121" s="6" t="str">
        <f t="shared" si="8"/>
        <v>6</v>
      </c>
      <c r="N121" s="2" t="str">
        <f t="shared" si="9"/>
        <v>蛇</v>
      </c>
      <c r="O121" s="7" t="str">
        <f>IF(M121="","",IF(COUNTIF(M122:$M$1000,M121)&gt;0,"",M121))</f>
        <v/>
      </c>
      <c r="P121" s="8" t="str">
        <f>IF(N121="","",IF(COUNTIF(N122:$N$1000,N121)&gt;0,"",N121))</f>
        <v/>
      </c>
      <c r="Q121" s="21">
        <f t="shared" si="10"/>
        <v>102</v>
      </c>
      <c r="R121" s="22" t="str">
        <f t="shared" si="11"/>
        <v>牛</v>
      </c>
      <c r="X121" s="2">
        <v>69</v>
      </c>
      <c r="Y121" s="2" t="s">
        <v>28</v>
      </c>
    </row>
    <row r="122" s="1" customFormat="1" spans="1:25">
      <c r="A122" s="2">
        <v>115056757</v>
      </c>
      <c r="B122" s="2">
        <v>36</v>
      </c>
      <c r="C122" s="2">
        <v>18</v>
      </c>
      <c r="D122" s="2">
        <v>10</v>
      </c>
      <c r="E122" s="2">
        <v>27</v>
      </c>
      <c r="F122" s="2">
        <v>49</v>
      </c>
      <c r="G122" s="2">
        <v>8</v>
      </c>
      <c r="H122" s="3">
        <v>44</v>
      </c>
      <c r="I122" s="2" t="str">
        <f t="shared" si="7"/>
        <v>猪</v>
      </c>
      <c r="J122" s="4">
        <f>IF(H122="","",IF(OR(AND(M122&lt;&gt;"",M122=IFERROR(INDEX($M$3:M121,MIN(IF(COUNTIF($M$3:M121,"0")=0,10^9,LOOKUP(2,1/($M$3:M121="0"),ROW($M$3:M121))),IF(COUNTIF($M$3:M121,"1")=0,10^9,LOOKUP(2,1/($M$3:M121="1"),ROW($M$3:M121))),IF(COUNTIF($M$3:M121,"2")=0,10^9,LOOKUP(2,1/($M$3:M121="2"),ROW($M$3:M121))),IF(COUNTIF($M$3:M121,"3")=0,10^9,LOOKUP(2,1/($M$3:M121="3"),ROW($M$3:M121))),IF(COUNTIF($M$3:M121,"4")=0,10^9,LOOKUP(2,1/($M$3:M121="4"),ROW($M$3:M121))),IF(COUNTIF($M$3:M121,"5")=0,10^9,LOOKUP(2,1/($M$3:M121="5"),ROW($M$3:M121))),IF(COUNTIF($M$3:M121,"6")=0,10^9,LOOKUP(2,1/($M$3:M121="6"),ROW($M$3:M121))),IF(COUNTIF($M$3:M121,"7")=0,10^9,LOOKUP(2,1/($M$3:M121="7"),ROW($M$3:M121))),IF(COUNTIF($M$3:M121,"8")=0,10^9,LOOKUP(2,1/($M$3:M121="8"),ROW($M$3:M121))),IF(COUNTIF($M$3:M121,"9")=0,10^9,LOOKUP(2,1/($M$3:M121="9"),ROW($M$3:M121))))-ROW($M$3)+1),"")),AND(N122&lt;&gt;"",N122=IFERROR(INDEX($N$3:N121,MIN(IF(COUNTIF($N$3:N121,"鼠")=0,10^9,LOOKUP(2,1/($N$3:N121="鼠"),ROW($N$3:N121))),IF(COUNTIF($N$3:N121,"牛")=0,10^9,LOOKUP(2,1/($N$3:N121="牛"),ROW($N$3:N121))),IF(COUNTIF($N$3:N121,"虎")=0,10^9,LOOKUP(2,1/($N$3:N121="虎"),ROW($N$3:N121))),IF(COUNTIF($N$3:N121,"兔")=0,10^9,LOOKUP(2,1/($N$3:N121="兔"),ROW($N$3:N121))),IF(COUNTIF($N$3:N121,"龙")=0,10^9,LOOKUP(2,1/($N$3:N121="龙"),ROW($N$3:N121))),IF(COUNTIF($N$3:N121,"蛇")=0,10^9,LOOKUP(2,1/($N$3:N121="蛇"),ROW($N$3:N121))),IF(COUNTIF($N$3:N121,"马")=0,10^9,LOOKUP(2,1/($N$3:N121="马"),ROW($N$3:N121))),IF(COUNTIF($N$3:N121,"羊")=0,10^9,LOOKUP(2,1/($N$3:N121="羊"),ROW($N$3:N121))),IF(COUNTIF($N$3:N121,"猴")=0,10^9,LOOKUP(2,1/($N$3:N121="猴"),ROW($N$3:N121))),IF(COUNTIF($N$3:N121,"鸡")=0,10^9,LOOKUP(2,1/($N$3:N121="鸡"),ROW($N$3:N121))),IF(COUNTIF($N$3:N121,"狗")=0,10^9,LOOKUP(2,1/($N$3:N121="狗"),ROW($N$3:N121))),IF(COUNTIF($N$3:N121,"猪")=0,10^9,LOOKUP(2,1/($N$3:N121="猪"),ROW($N$3:N121))))-ROW($N$3)+1),""))),0,IF(ISNUMBER(J121),J121+1,1)))</f>
        <v>2</v>
      </c>
      <c r="K122" s="5">
        <f t="shared" si="12"/>
        <v>49</v>
      </c>
      <c r="M122" s="6" t="str">
        <f t="shared" si="8"/>
        <v>4</v>
      </c>
      <c r="N122" s="2" t="str">
        <f t="shared" si="9"/>
        <v>猪</v>
      </c>
      <c r="O122" s="7" t="str">
        <f>IF(M122="","",IF(COUNTIF(M123:$M$1000,M122)&gt;0,"",M122))</f>
        <v/>
      </c>
      <c r="P122" s="8" t="str">
        <f>IF(N122="","",IF(COUNTIF(N123:$N$1000,N122)&gt;0,"",N122))</f>
        <v/>
      </c>
      <c r="Q122" s="21">
        <f t="shared" si="10"/>
        <v>109</v>
      </c>
      <c r="R122" s="22" t="str">
        <f t="shared" si="11"/>
        <v>马</v>
      </c>
      <c r="X122" s="2">
        <v>81</v>
      </c>
      <c r="Y122" s="2" t="s">
        <v>28</v>
      </c>
    </row>
    <row r="123" s="1" customFormat="1" spans="1:25">
      <c r="A123" s="2">
        <v>115056758</v>
      </c>
      <c r="B123" s="2">
        <v>27</v>
      </c>
      <c r="C123" s="2">
        <v>4</v>
      </c>
      <c r="D123" s="2">
        <v>21</v>
      </c>
      <c r="E123" s="2">
        <v>42</v>
      </c>
      <c r="F123" s="2">
        <v>31</v>
      </c>
      <c r="G123" s="2">
        <v>28</v>
      </c>
      <c r="H123" s="3">
        <v>23</v>
      </c>
      <c r="I123" s="2" t="str">
        <f t="shared" si="7"/>
        <v>猴</v>
      </c>
      <c r="J123" s="4">
        <f>IF(H123="","",IF(OR(AND(M123&lt;&gt;"",M123=IFERROR(INDEX($M$3:M122,MIN(IF(COUNTIF($M$3:M122,"0")=0,10^9,LOOKUP(2,1/($M$3:M122="0"),ROW($M$3:M122))),IF(COUNTIF($M$3:M122,"1")=0,10^9,LOOKUP(2,1/($M$3:M122="1"),ROW($M$3:M122))),IF(COUNTIF($M$3:M122,"2")=0,10^9,LOOKUP(2,1/($M$3:M122="2"),ROW($M$3:M122))),IF(COUNTIF($M$3:M122,"3")=0,10^9,LOOKUP(2,1/($M$3:M122="3"),ROW($M$3:M122))),IF(COUNTIF($M$3:M122,"4")=0,10^9,LOOKUP(2,1/($M$3:M122="4"),ROW($M$3:M122))),IF(COUNTIF($M$3:M122,"5")=0,10^9,LOOKUP(2,1/($M$3:M122="5"),ROW($M$3:M122))),IF(COUNTIF($M$3:M122,"6")=0,10^9,LOOKUP(2,1/($M$3:M122="6"),ROW($M$3:M122))),IF(COUNTIF($M$3:M122,"7")=0,10^9,LOOKUP(2,1/($M$3:M122="7"),ROW($M$3:M122))),IF(COUNTIF($M$3:M122,"8")=0,10^9,LOOKUP(2,1/($M$3:M122="8"),ROW($M$3:M122))),IF(COUNTIF($M$3:M122,"9")=0,10^9,LOOKUP(2,1/($M$3:M122="9"),ROW($M$3:M122))))-ROW($M$3)+1),"")),AND(N123&lt;&gt;"",N123=IFERROR(INDEX($N$3:N122,MIN(IF(COUNTIF($N$3:N122,"鼠")=0,10^9,LOOKUP(2,1/($N$3:N122="鼠"),ROW($N$3:N122))),IF(COUNTIF($N$3:N122,"牛")=0,10^9,LOOKUP(2,1/($N$3:N122="牛"),ROW($N$3:N122))),IF(COUNTIF($N$3:N122,"虎")=0,10^9,LOOKUP(2,1/($N$3:N122="虎"),ROW($N$3:N122))),IF(COUNTIF($N$3:N122,"兔")=0,10^9,LOOKUP(2,1/($N$3:N122="兔"),ROW($N$3:N122))),IF(COUNTIF($N$3:N122,"龙")=0,10^9,LOOKUP(2,1/($N$3:N122="龙"),ROW($N$3:N122))),IF(COUNTIF($N$3:N122,"蛇")=0,10^9,LOOKUP(2,1/($N$3:N122="蛇"),ROW($N$3:N122))),IF(COUNTIF($N$3:N122,"马")=0,10^9,LOOKUP(2,1/($N$3:N122="马"),ROW($N$3:N122))),IF(COUNTIF($N$3:N122,"羊")=0,10^9,LOOKUP(2,1/($N$3:N122="羊"),ROW($N$3:N122))),IF(COUNTIF($N$3:N122,"猴")=0,10^9,LOOKUP(2,1/($N$3:N122="猴"),ROW($N$3:N122))),IF(COUNTIF($N$3:N122,"鸡")=0,10^9,LOOKUP(2,1/($N$3:N122="鸡"),ROW($N$3:N122))),IF(COUNTIF($N$3:N122,"狗")=0,10^9,LOOKUP(2,1/($N$3:N122="狗"),ROW($N$3:N122))),IF(COUNTIF($N$3:N122,"猪")=0,10^9,LOOKUP(2,1/($N$3:N122="猪"),ROW($N$3:N122))))-ROW($N$3)+1),""))),0,IF(ISNUMBER(J122),J122+1,1)))</f>
        <v>0</v>
      </c>
      <c r="K123" s="5">
        <f t="shared" si="12"/>
        <v>50</v>
      </c>
      <c r="M123" s="6" t="str">
        <f t="shared" si="8"/>
        <v>3</v>
      </c>
      <c r="N123" s="2" t="str">
        <f t="shared" si="9"/>
        <v>猴</v>
      </c>
      <c r="O123" s="7" t="str">
        <f>IF(M123="","",IF(COUNTIF(M124:$M$1000,M123)&gt;0,"",M123))</f>
        <v/>
      </c>
      <c r="P123" s="8" t="str">
        <f>IF(N123="","",IF(COUNTIF(N124:$N$1000,N123)&gt;0,"",N123))</f>
        <v>猴</v>
      </c>
      <c r="Q123" s="21">
        <f t="shared" si="10"/>
        <v>91</v>
      </c>
      <c r="R123" s="22" t="str">
        <f t="shared" si="11"/>
        <v>鼠</v>
      </c>
      <c r="X123" s="2">
        <v>93</v>
      </c>
      <c r="Y123" s="2" t="s">
        <v>28</v>
      </c>
    </row>
    <row r="124" s="1" customFormat="1" spans="1:25">
      <c r="A124" s="2">
        <v>115056759</v>
      </c>
      <c r="B124" s="2">
        <v>12</v>
      </c>
      <c r="C124" s="2">
        <v>3</v>
      </c>
      <c r="D124" s="2">
        <v>11</v>
      </c>
      <c r="E124" s="2">
        <v>28</v>
      </c>
      <c r="F124" s="2">
        <v>41</v>
      </c>
      <c r="G124" s="2">
        <v>45</v>
      </c>
      <c r="H124" s="3">
        <v>19</v>
      </c>
      <c r="I124" s="2" t="str">
        <f t="shared" si="7"/>
        <v>鼠</v>
      </c>
      <c r="J124" s="4">
        <f>IF(H124="","",IF(OR(AND(M124&lt;&gt;"",M124=IFERROR(INDEX($M$3:M123,MIN(IF(COUNTIF($M$3:M123,"0")=0,10^9,LOOKUP(2,1/($M$3:M123="0"),ROW($M$3:M123))),IF(COUNTIF($M$3:M123,"1")=0,10^9,LOOKUP(2,1/($M$3:M123="1"),ROW($M$3:M123))),IF(COUNTIF($M$3:M123,"2")=0,10^9,LOOKUP(2,1/($M$3:M123="2"),ROW($M$3:M123))),IF(COUNTIF($M$3:M123,"3")=0,10^9,LOOKUP(2,1/($M$3:M123="3"),ROW($M$3:M123))),IF(COUNTIF($M$3:M123,"4")=0,10^9,LOOKUP(2,1/($M$3:M123="4"),ROW($M$3:M123))),IF(COUNTIF($M$3:M123,"5")=0,10^9,LOOKUP(2,1/($M$3:M123="5"),ROW($M$3:M123))),IF(COUNTIF($M$3:M123,"6")=0,10^9,LOOKUP(2,1/($M$3:M123="6"),ROW($M$3:M123))),IF(COUNTIF($M$3:M123,"7")=0,10^9,LOOKUP(2,1/($M$3:M123="7"),ROW($M$3:M123))),IF(COUNTIF($M$3:M123,"8")=0,10^9,LOOKUP(2,1/($M$3:M123="8"),ROW($M$3:M123))),IF(COUNTIF($M$3:M123,"9")=0,10^9,LOOKUP(2,1/($M$3:M123="9"),ROW($M$3:M123))))-ROW($M$3)+1),"")),AND(N124&lt;&gt;"",N124=IFERROR(INDEX($N$3:N123,MIN(IF(COUNTIF($N$3:N123,"鼠")=0,10^9,LOOKUP(2,1/($N$3:N123="鼠"),ROW($N$3:N123))),IF(COUNTIF($N$3:N123,"牛")=0,10^9,LOOKUP(2,1/($N$3:N123="牛"),ROW($N$3:N123))),IF(COUNTIF($N$3:N123,"虎")=0,10^9,LOOKUP(2,1/($N$3:N123="虎"),ROW($N$3:N123))),IF(COUNTIF($N$3:N123,"兔")=0,10^9,LOOKUP(2,1/($N$3:N123="兔"),ROW($N$3:N123))),IF(COUNTIF($N$3:N123,"龙")=0,10^9,LOOKUP(2,1/($N$3:N123="龙"),ROW($N$3:N123))),IF(COUNTIF($N$3:N123,"蛇")=0,10^9,LOOKUP(2,1/($N$3:N123="蛇"),ROW($N$3:N123))),IF(COUNTIF($N$3:N123,"马")=0,10^9,LOOKUP(2,1/($N$3:N123="马"),ROW($N$3:N123))),IF(COUNTIF($N$3:N123,"羊")=0,10^9,LOOKUP(2,1/($N$3:N123="羊"),ROW($N$3:N123))),IF(COUNTIF($N$3:N123,"猴")=0,10^9,LOOKUP(2,1/($N$3:N123="猴"),ROW($N$3:N123))),IF(COUNTIF($N$3:N123,"鸡")=0,10^9,LOOKUP(2,1/($N$3:N123="鸡"),ROW($N$3:N123))),IF(COUNTIF($N$3:N123,"狗")=0,10^9,LOOKUP(2,1/($N$3:N123="狗"),ROW($N$3:N123))),IF(COUNTIF($N$3:N123,"猪")=0,10^9,LOOKUP(2,1/($N$3:N123="猪"),ROW($N$3:N123))))-ROW($N$3)+1),""))),0,IF(ISNUMBER(J123),J123+1,1)))</f>
        <v>1</v>
      </c>
      <c r="K124" s="5">
        <f t="shared" si="12"/>
        <v>0</v>
      </c>
      <c r="M124" s="6" t="str">
        <f t="shared" si="8"/>
        <v>9</v>
      </c>
      <c r="N124" s="2" t="str">
        <f t="shared" si="9"/>
        <v>鼠</v>
      </c>
      <c r="O124" s="7" t="str">
        <f>IF(M124="","",IF(COUNTIF(M125:$M$1000,M124)&gt;0,"",M124))</f>
        <v/>
      </c>
      <c r="P124" s="8" t="str">
        <f>IF(N124="","",IF(COUNTIF(N125:$N$1000,N124)&gt;0,"",N124))</f>
        <v/>
      </c>
      <c r="Q124" s="21">
        <f t="shared" si="10"/>
        <v>98</v>
      </c>
      <c r="R124" s="22" t="str">
        <f t="shared" si="11"/>
        <v>蛇</v>
      </c>
      <c r="X124" s="2">
        <v>105</v>
      </c>
      <c r="Y124" s="2" t="s">
        <v>28</v>
      </c>
    </row>
    <row r="125" s="1" customFormat="1" spans="1:25">
      <c r="A125" s="2">
        <v>115056760</v>
      </c>
      <c r="B125" s="2">
        <v>46</v>
      </c>
      <c r="C125" s="2">
        <v>36</v>
      </c>
      <c r="D125" s="2">
        <v>48</v>
      </c>
      <c r="E125" s="2">
        <v>43</v>
      </c>
      <c r="F125" s="2">
        <v>24</v>
      </c>
      <c r="G125" s="2">
        <v>17</v>
      </c>
      <c r="H125" s="3">
        <v>44</v>
      </c>
      <c r="I125" s="2" t="str">
        <f t="shared" si="7"/>
        <v>猪</v>
      </c>
      <c r="J125" s="4">
        <f>IF(H125="","",IF(OR(AND(M125&lt;&gt;"",M125=IFERROR(INDEX($M$3:M124,MIN(IF(COUNTIF($M$3:M124,"0")=0,10^9,LOOKUP(2,1/($M$3:M124="0"),ROW($M$3:M124))),IF(COUNTIF($M$3:M124,"1")=0,10^9,LOOKUP(2,1/($M$3:M124="1"),ROW($M$3:M124))),IF(COUNTIF($M$3:M124,"2")=0,10^9,LOOKUP(2,1/($M$3:M124="2"),ROW($M$3:M124))),IF(COUNTIF($M$3:M124,"3")=0,10^9,LOOKUP(2,1/($M$3:M124="3"),ROW($M$3:M124))),IF(COUNTIF($M$3:M124,"4")=0,10^9,LOOKUP(2,1/($M$3:M124="4"),ROW($M$3:M124))),IF(COUNTIF($M$3:M124,"5")=0,10^9,LOOKUP(2,1/($M$3:M124="5"),ROW($M$3:M124))),IF(COUNTIF($M$3:M124,"6")=0,10^9,LOOKUP(2,1/($M$3:M124="6"),ROW($M$3:M124))),IF(COUNTIF($M$3:M124,"7")=0,10^9,LOOKUP(2,1/($M$3:M124="7"),ROW($M$3:M124))),IF(COUNTIF($M$3:M124,"8")=0,10^9,LOOKUP(2,1/($M$3:M124="8"),ROW($M$3:M124))),IF(COUNTIF($M$3:M124,"9")=0,10^9,LOOKUP(2,1/($M$3:M124="9"),ROW($M$3:M124))))-ROW($M$3)+1),"")),AND(N125&lt;&gt;"",N125=IFERROR(INDEX($N$3:N124,MIN(IF(COUNTIF($N$3:N124,"鼠")=0,10^9,LOOKUP(2,1/($N$3:N124="鼠"),ROW($N$3:N124))),IF(COUNTIF($N$3:N124,"牛")=0,10^9,LOOKUP(2,1/($N$3:N124="牛"),ROW($N$3:N124))),IF(COUNTIF($N$3:N124,"虎")=0,10^9,LOOKUP(2,1/($N$3:N124="虎"),ROW($N$3:N124))),IF(COUNTIF($N$3:N124,"兔")=0,10^9,LOOKUP(2,1/($N$3:N124="兔"),ROW($N$3:N124))),IF(COUNTIF($N$3:N124,"龙")=0,10^9,LOOKUP(2,1/($N$3:N124="龙"),ROW($N$3:N124))),IF(COUNTIF($N$3:N124,"蛇")=0,10^9,LOOKUP(2,1/($N$3:N124="蛇"),ROW($N$3:N124))),IF(COUNTIF($N$3:N124,"马")=0,10^9,LOOKUP(2,1/($N$3:N124="马"),ROW($N$3:N124))),IF(COUNTIF($N$3:N124,"羊")=0,10^9,LOOKUP(2,1/($N$3:N124="羊"),ROW($N$3:N124))),IF(COUNTIF($N$3:N124,"猴")=0,10^9,LOOKUP(2,1/($N$3:N124="猴"),ROW($N$3:N124))),IF(COUNTIF($N$3:N124,"鸡")=0,10^9,LOOKUP(2,1/($N$3:N124="鸡"),ROW($N$3:N124))),IF(COUNTIF($N$3:N124,"狗")=0,10^9,LOOKUP(2,1/($N$3:N124="狗"),ROW($N$3:N124))),IF(COUNTIF($N$3:N124,"猪")=0,10^9,LOOKUP(2,1/($N$3:N124="猪"),ROW($N$3:N124))))-ROW($N$3)+1),""))),0,IF(ISNUMBER(J124),J124+1,1)))</f>
        <v>2</v>
      </c>
      <c r="K125" s="5">
        <f t="shared" si="12"/>
        <v>1</v>
      </c>
      <c r="M125" s="6" t="str">
        <f t="shared" si="8"/>
        <v>4</v>
      </c>
      <c r="N125" s="2" t="str">
        <f t="shared" si="9"/>
        <v>猪</v>
      </c>
      <c r="O125" s="7" t="str">
        <f>IF(M125="","",IF(COUNTIF(M126:$M$1000,M125)&gt;0,"",M125))</f>
        <v>4</v>
      </c>
      <c r="P125" s="8" t="str">
        <f>IF(N125="","",IF(COUNTIF(N126:$N$1000,N125)&gt;0,"",N125))</f>
        <v>猪</v>
      </c>
      <c r="Q125" s="21">
        <f t="shared" si="10"/>
        <v>116</v>
      </c>
      <c r="R125" s="22" t="str">
        <f t="shared" si="11"/>
        <v>猪</v>
      </c>
      <c r="X125" s="2">
        <v>117</v>
      </c>
      <c r="Y125" s="2" t="s">
        <v>28</v>
      </c>
    </row>
    <row r="126" s="1" customFormat="1" spans="1:25">
      <c r="A126" s="2">
        <v>115056761</v>
      </c>
      <c r="B126" s="2">
        <v>32</v>
      </c>
      <c r="C126" s="2">
        <v>28</v>
      </c>
      <c r="D126" s="2">
        <v>16</v>
      </c>
      <c r="E126" s="2">
        <v>45</v>
      </c>
      <c r="F126" s="2">
        <v>26</v>
      </c>
      <c r="G126" s="2">
        <v>5</v>
      </c>
      <c r="H126" s="3">
        <v>40</v>
      </c>
      <c r="I126" s="2" t="str">
        <f t="shared" si="7"/>
        <v>兔</v>
      </c>
      <c r="J126" s="4">
        <f>IF(H126="","",IF(OR(AND(M126&lt;&gt;"",M126=IFERROR(INDEX($M$3:M125,MIN(IF(COUNTIF($M$3:M125,"0")=0,10^9,LOOKUP(2,1/($M$3:M125="0"),ROW($M$3:M125))),IF(COUNTIF($M$3:M125,"1")=0,10^9,LOOKUP(2,1/($M$3:M125="1"),ROW($M$3:M125))),IF(COUNTIF($M$3:M125,"2")=0,10^9,LOOKUP(2,1/($M$3:M125="2"),ROW($M$3:M125))),IF(COUNTIF($M$3:M125,"3")=0,10^9,LOOKUP(2,1/($M$3:M125="3"),ROW($M$3:M125))),IF(COUNTIF($M$3:M125,"4")=0,10^9,LOOKUP(2,1/($M$3:M125="4"),ROW($M$3:M125))),IF(COUNTIF($M$3:M125,"5")=0,10^9,LOOKUP(2,1/($M$3:M125="5"),ROW($M$3:M125))),IF(COUNTIF($M$3:M125,"6")=0,10^9,LOOKUP(2,1/($M$3:M125="6"),ROW($M$3:M125))),IF(COUNTIF($M$3:M125,"7")=0,10^9,LOOKUP(2,1/($M$3:M125="7"),ROW($M$3:M125))),IF(COUNTIF($M$3:M125,"8")=0,10^9,LOOKUP(2,1/($M$3:M125="8"),ROW($M$3:M125))),IF(COUNTIF($M$3:M125,"9")=0,10^9,LOOKUP(2,1/($M$3:M125="9"),ROW($M$3:M125))))-ROW($M$3)+1),"")),AND(N126&lt;&gt;"",N126=IFERROR(INDEX($N$3:N125,MIN(IF(COUNTIF($N$3:N125,"鼠")=0,10^9,LOOKUP(2,1/($N$3:N125="鼠"),ROW($N$3:N125))),IF(COUNTIF($N$3:N125,"牛")=0,10^9,LOOKUP(2,1/($N$3:N125="牛"),ROW($N$3:N125))),IF(COUNTIF($N$3:N125,"虎")=0,10^9,LOOKUP(2,1/($N$3:N125="虎"),ROW($N$3:N125))),IF(COUNTIF($N$3:N125,"兔")=0,10^9,LOOKUP(2,1/($N$3:N125="兔"),ROW($N$3:N125))),IF(COUNTIF($N$3:N125,"龙")=0,10^9,LOOKUP(2,1/($N$3:N125="龙"),ROW($N$3:N125))),IF(COUNTIF($N$3:N125,"蛇")=0,10^9,LOOKUP(2,1/($N$3:N125="蛇"),ROW($N$3:N125))),IF(COUNTIF($N$3:N125,"马")=0,10^9,LOOKUP(2,1/($N$3:N125="马"),ROW($N$3:N125))),IF(COUNTIF($N$3:N125,"羊")=0,10^9,LOOKUP(2,1/($N$3:N125="羊"),ROW($N$3:N125))),IF(COUNTIF($N$3:N125,"猴")=0,10^9,LOOKUP(2,1/($N$3:N125="猴"),ROW($N$3:N125))),IF(COUNTIF($N$3:N125,"鸡")=0,10^9,LOOKUP(2,1/($N$3:N125="鸡"),ROW($N$3:N125))),IF(COUNTIF($N$3:N125,"狗")=0,10^9,LOOKUP(2,1/($N$3:N125="狗"),ROW($N$3:N125))),IF(COUNTIF($N$3:N125,"猪")=0,10^9,LOOKUP(2,1/($N$3:N125="猪"),ROW($N$3:N125))))-ROW($N$3)+1),""))),0,IF(ISNUMBER(J125),J125+1,1)))</f>
        <v>3</v>
      </c>
      <c r="K126" s="5">
        <f t="shared" si="12"/>
        <v>2</v>
      </c>
      <c r="M126" s="6" t="str">
        <f t="shared" si="8"/>
        <v>0</v>
      </c>
      <c r="N126" s="2" t="str">
        <f t="shared" si="9"/>
        <v>兔</v>
      </c>
      <c r="O126" s="7" t="str">
        <f>IF(M126="","",IF(COUNTIF(M127:$M$1000,M126)&gt;0,"",M126))</f>
        <v>0</v>
      </c>
      <c r="P126" s="8" t="str">
        <f>IF(N126="","",IF(COUNTIF(N127:$N$1000,N126)&gt;0,"",N126))</f>
        <v>兔</v>
      </c>
      <c r="Q126" s="21">
        <f t="shared" si="10"/>
        <v>98</v>
      </c>
      <c r="R126" s="22" t="str">
        <f t="shared" si="11"/>
        <v>蛇</v>
      </c>
      <c r="X126" s="2">
        <v>129</v>
      </c>
      <c r="Y126" s="2" t="s">
        <v>28</v>
      </c>
    </row>
    <row r="127" s="1" customFormat="1" spans="1:25">
      <c r="A127" s="2">
        <v>115056762</v>
      </c>
      <c r="B127" s="2">
        <v>24</v>
      </c>
      <c r="C127" s="2">
        <v>43</v>
      </c>
      <c r="D127" s="2">
        <v>38</v>
      </c>
      <c r="E127" s="2">
        <v>18</v>
      </c>
      <c r="F127" s="2">
        <v>22</v>
      </c>
      <c r="G127" s="2">
        <v>7</v>
      </c>
      <c r="H127" s="3">
        <v>5</v>
      </c>
      <c r="I127" s="2" t="str">
        <f t="shared" si="7"/>
        <v>虎</v>
      </c>
      <c r="J127" s="4">
        <f>IF(H127="","",IF(OR(AND(M127&lt;&gt;"",M127=IFERROR(INDEX($M$3:M126,MIN(IF(COUNTIF($M$3:M126,"0")=0,10^9,LOOKUP(2,1/($M$3:M126="0"),ROW($M$3:M126))),IF(COUNTIF($M$3:M126,"1")=0,10^9,LOOKUP(2,1/($M$3:M126="1"),ROW($M$3:M126))),IF(COUNTIF($M$3:M126,"2")=0,10^9,LOOKUP(2,1/($M$3:M126="2"),ROW($M$3:M126))),IF(COUNTIF($M$3:M126,"3")=0,10^9,LOOKUP(2,1/($M$3:M126="3"),ROW($M$3:M126))),IF(COUNTIF($M$3:M126,"4")=0,10^9,LOOKUP(2,1/($M$3:M126="4"),ROW($M$3:M126))),IF(COUNTIF($M$3:M126,"5")=0,10^9,LOOKUP(2,1/($M$3:M126="5"),ROW($M$3:M126))),IF(COUNTIF($M$3:M126,"6")=0,10^9,LOOKUP(2,1/($M$3:M126="6"),ROW($M$3:M126))),IF(COUNTIF($M$3:M126,"7")=0,10^9,LOOKUP(2,1/($M$3:M126="7"),ROW($M$3:M126))),IF(COUNTIF($M$3:M126,"8")=0,10^9,LOOKUP(2,1/($M$3:M126="8"),ROW($M$3:M126))),IF(COUNTIF($M$3:M126,"9")=0,10^9,LOOKUP(2,1/($M$3:M126="9"),ROW($M$3:M126))))-ROW($M$3)+1),"")),AND(N127&lt;&gt;"",N127=IFERROR(INDEX($N$3:N126,MIN(IF(COUNTIF($N$3:N126,"鼠")=0,10^9,LOOKUP(2,1/($N$3:N126="鼠"),ROW($N$3:N126))),IF(COUNTIF($N$3:N126,"牛")=0,10^9,LOOKUP(2,1/($N$3:N126="牛"),ROW($N$3:N126))),IF(COUNTIF($N$3:N126,"虎")=0,10^9,LOOKUP(2,1/($N$3:N126="虎"),ROW($N$3:N126))),IF(COUNTIF($N$3:N126,"兔")=0,10^9,LOOKUP(2,1/($N$3:N126="兔"),ROW($N$3:N126))),IF(COUNTIF($N$3:N126,"龙")=0,10^9,LOOKUP(2,1/($N$3:N126="龙"),ROW($N$3:N126))),IF(COUNTIF($N$3:N126,"蛇")=0,10^9,LOOKUP(2,1/($N$3:N126="蛇"),ROW($N$3:N126))),IF(COUNTIF($N$3:N126,"马")=0,10^9,LOOKUP(2,1/($N$3:N126="马"),ROW($N$3:N126))),IF(COUNTIF($N$3:N126,"羊")=0,10^9,LOOKUP(2,1/($N$3:N126="羊"),ROW($N$3:N126))),IF(COUNTIF($N$3:N126,"猴")=0,10^9,LOOKUP(2,1/($N$3:N126="猴"),ROW($N$3:N126))),IF(COUNTIF($N$3:N126,"鸡")=0,10^9,LOOKUP(2,1/($N$3:N126="鸡"),ROW($N$3:N126))),IF(COUNTIF($N$3:N126,"狗")=0,10^9,LOOKUP(2,1/($N$3:N126="狗"),ROW($N$3:N126))),IF(COUNTIF($N$3:N126,"猪")=0,10^9,LOOKUP(2,1/($N$3:N126="猪"),ROW($N$3:N126))))-ROW($N$3)+1),""))),0,IF(ISNUMBER(J126),J126+1,1)))</f>
        <v>0</v>
      </c>
      <c r="K127" s="5">
        <f t="shared" si="12"/>
        <v>3</v>
      </c>
      <c r="M127" s="6" t="str">
        <f t="shared" si="8"/>
        <v>5</v>
      </c>
      <c r="N127" s="2" t="str">
        <f t="shared" si="9"/>
        <v>虎</v>
      </c>
      <c r="O127" s="7" t="str">
        <f>IF(M127="","",IF(COUNTIF(M128:$M$1000,M127)&gt;0,"",M127))</f>
        <v/>
      </c>
      <c r="P127" s="8" t="str">
        <f>IF(N127="","",IF(COUNTIF(N128:$N$1000,N127)&gt;0,"",N127))</f>
        <v/>
      </c>
      <c r="Q127" s="21">
        <f t="shared" si="10"/>
        <v>86</v>
      </c>
      <c r="R127" s="22" t="str">
        <f t="shared" si="11"/>
        <v>蛇</v>
      </c>
      <c r="X127" s="2">
        <v>56</v>
      </c>
      <c r="Y127" s="2" t="s">
        <v>29</v>
      </c>
    </row>
    <row r="128" s="1" customFormat="1" spans="1:25">
      <c r="A128" s="2">
        <v>115056763</v>
      </c>
      <c r="B128" s="2">
        <v>4</v>
      </c>
      <c r="C128" s="2">
        <v>5</v>
      </c>
      <c r="D128" s="2">
        <v>49</v>
      </c>
      <c r="E128" s="2">
        <v>11</v>
      </c>
      <c r="F128" s="2">
        <v>24</v>
      </c>
      <c r="G128" s="2">
        <v>13</v>
      </c>
      <c r="H128" s="3">
        <v>31</v>
      </c>
      <c r="I128" s="2" t="str">
        <f t="shared" si="7"/>
        <v>鼠</v>
      </c>
      <c r="J128" s="4">
        <f>IF(H128="","",IF(OR(AND(M128&lt;&gt;"",M128=IFERROR(INDEX($M$3:M127,MIN(IF(COUNTIF($M$3:M127,"0")=0,10^9,LOOKUP(2,1/($M$3:M127="0"),ROW($M$3:M127))),IF(COUNTIF($M$3:M127,"1")=0,10^9,LOOKUP(2,1/($M$3:M127="1"),ROW($M$3:M127))),IF(COUNTIF($M$3:M127,"2")=0,10^9,LOOKUP(2,1/($M$3:M127="2"),ROW($M$3:M127))),IF(COUNTIF($M$3:M127,"3")=0,10^9,LOOKUP(2,1/($M$3:M127="3"),ROW($M$3:M127))),IF(COUNTIF($M$3:M127,"4")=0,10^9,LOOKUP(2,1/($M$3:M127="4"),ROW($M$3:M127))),IF(COUNTIF($M$3:M127,"5")=0,10^9,LOOKUP(2,1/($M$3:M127="5"),ROW($M$3:M127))),IF(COUNTIF($M$3:M127,"6")=0,10^9,LOOKUP(2,1/($M$3:M127="6"),ROW($M$3:M127))),IF(COUNTIF($M$3:M127,"7")=0,10^9,LOOKUP(2,1/($M$3:M127="7"),ROW($M$3:M127))),IF(COUNTIF($M$3:M127,"8")=0,10^9,LOOKUP(2,1/($M$3:M127="8"),ROW($M$3:M127))),IF(COUNTIF($M$3:M127,"9")=0,10^9,LOOKUP(2,1/($M$3:M127="9"),ROW($M$3:M127))))-ROW($M$3)+1),"")),AND(N128&lt;&gt;"",N128=IFERROR(INDEX($N$3:N127,MIN(IF(COUNTIF($N$3:N127,"鼠")=0,10^9,LOOKUP(2,1/($N$3:N127="鼠"),ROW($N$3:N127))),IF(COUNTIF($N$3:N127,"牛")=0,10^9,LOOKUP(2,1/($N$3:N127="牛"),ROW($N$3:N127))),IF(COUNTIF($N$3:N127,"虎")=0,10^9,LOOKUP(2,1/($N$3:N127="虎"),ROW($N$3:N127))),IF(COUNTIF($N$3:N127,"兔")=0,10^9,LOOKUP(2,1/($N$3:N127="兔"),ROW($N$3:N127))),IF(COUNTIF($N$3:N127,"龙")=0,10^9,LOOKUP(2,1/($N$3:N127="龙"),ROW($N$3:N127))),IF(COUNTIF($N$3:N127,"蛇")=0,10^9,LOOKUP(2,1/($N$3:N127="蛇"),ROW($N$3:N127))),IF(COUNTIF($N$3:N127,"马")=0,10^9,LOOKUP(2,1/($N$3:N127="马"),ROW($N$3:N127))),IF(COUNTIF($N$3:N127,"羊")=0,10^9,LOOKUP(2,1/($N$3:N127="羊"),ROW($N$3:N127))),IF(COUNTIF($N$3:N127,"猴")=0,10^9,LOOKUP(2,1/($N$3:N127="猴"),ROW($N$3:N127))),IF(COUNTIF($N$3:N127,"鸡")=0,10^9,LOOKUP(2,1/($N$3:N127="鸡"),ROW($N$3:N127))),IF(COUNTIF($N$3:N127,"狗")=0,10^9,LOOKUP(2,1/($N$3:N127="狗"),ROW($N$3:N127))),IF(COUNTIF($N$3:N127,"猪")=0,10^9,LOOKUP(2,1/($N$3:N127="猪"),ROW($N$3:N127))))-ROW($N$3)+1),""))),0,IF(ISNUMBER(J127),J127+1,1)))</f>
        <v>1</v>
      </c>
      <c r="K128" s="5">
        <f t="shared" si="12"/>
        <v>4</v>
      </c>
      <c r="M128" s="6" t="str">
        <f t="shared" si="8"/>
        <v>1</v>
      </c>
      <c r="N128" s="2" t="str">
        <f t="shared" si="9"/>
        <v>鼠</v>
      </c>
      <c r="O128" s="7" t="str">
        <f>IF(M128="","",IF(COUNTIF(M129:$M$1000,M128)&gt;0,"",M128))</f>
        <v/>
      </c>
      <c r="P128" s="8" t="str">
        <f>IF(N128="","",IF(COUNTIF(N129:$N$1000,N128)&gt;0,"",N128))</f>
        <v/>
      </c>
      <c r="Q128" s="21">
        <f t="shared" si="10"/>
        <v>91</v>
      </c>
      <c r="R128" s="22" t="str">
        <f t="shared" si="11"/>
        <v>鼠</v>
      </c>
      <c r="X128" s="2">
        <v>68</v>
      </c>
      <c r="Y128" s="2" t="s">
        <v>29</v>
      </c>
    </row>
    <row r="129" s="1" customFormat="1" spans="1:25">
      <c r="A129" s="2">
        <v>115056764</v>
      </c>
      <c r="B129" s="2">
        <v>38</v>
      </c>
      <c r="C129" s="2">
        <v>46</v>
      </c>
      <c r="D129" s="2">
        <v>6</v>
      </c>
      <c r="E129" s="2">
        <v>11</v>
      </c>
      <c r="F129" s="2">
        <v>45</v>
      </c>
      <c r="G129" s="2">
        <v>23</v>
      </c>
      <c r="H129" s="3">
        <v>29</v>
      </c>
      <c r="I129" s="2" t="str">
        <f t="shared" si="7"/>
        <v>虎</v>
      </c>
      <c r="J129" s="4">
        <f>IF(H129="","",IF(OR(AND(M129&lt;&gt;"",M129=IFERROR(INDEX($M$3:M128,MIN(IF(COUNTIF($M$3:M128,"0")=0,10^9,LOOKUP(2,1/($M$3:M128="0"),ROW($M$3:M128))),IF(COUNTIF($M$3:M128,"1")=0,10^9,LOOKUP(2,1/($M$3:M128="1"),ROW($M$3:M128))),IF(COUNTIF($M$3:M128,"2")=0,10^9,LOOKUP(2,1/($M$3:M128="2"),ROW($M$3:M128))),IF(COUNTIF($M$3:M128,"3")=0,10^9,LOOKUP(2,1/($M$3:M128="3"),ROW($M$3:M128))),IF(COUNTIF($M$3:M128,"4")=0,10^9,LOOKUP(2,1/($M$3:M128="4"),ROW($M$3:M128))),IF(COUNTIF($M$3:M128,"5")=0,10^9,LOOKUP(2,1/($M$3:M128="5"),ROW($M$3:M128))),IF(COUNTIF($M$3:M128,"6")=0,10^9,LOOKUP(2,1/($M$3:M128="6"),ROW($M$3:M128))),IF(COUNTIF($M$3:M128,"7")=0,10^9,LOOKUP(2,1/($M$3:M128="7"),ROW($M$3:M128))),IF(COUNTIF($M$3:M128,"8")=0,10^9,LOOKUP(2,1/($M$3:M128="8"),ROW($M$3:M128))),IF(COUNTIF($M$3:M128,"9")=0,10^9,LOOKUP(2,1/($M$3:M128="9"),ROW($M$3:M128))))-ROW($M$3)+1),"")),AND(N129&lt;&gt;"",N129=IFERROR(INDEX($N$3:N128,MIN(IF(COUNTIF($N$3:N128,"鼠")=0,10^9,LOOKUP(2,1/($N$3:N128="鼠"),ROW($N$3:N128))),IF(COUNTIF($N$3:N128,"牛")=0,10^9,LOOKUP(2,1/($N$3:N128="牛"),ROW($N$3:N128))),IF(COUNTIF($N$3:N128,"虎")=0,10^9,LOOKUP(2,1/($N$3:N128="虎"),ROW($N$3:N128))),IF(COUNTIF($N$3:N128,"兔")=0,10^9,LOOKUP(2,1/($N$3:N128="兔"),ROW($N$3:N128))),IF(COUNTIF($N$3:N128,"龙")=0,10^9,LOOKUP(2,1/($N$3:N128="龙"),ROW($N$3:N128))),IF(COUNTIF($N$3:N128,"蛇")=0,10^9,LOOKUP(2,1/($N$3:N128="蛇"),ROW($N$3:N128))),IF(COUNTIF($N$3:N128,"马")=0,10^9,LOOKUP(2,1/($N$3:N128="马"),ROW($N$3:N128))),IF(COUNTIF($N$3:N128,"羊")=0,10^9,LOOKUP(2,1/($N$3:N128="羊"),ROW($N$3:N128))),IF(COUNTIF($N$3:N128,"猴")=0,10^9,LOOKUP(2,1/($N$3:N128="猴"),ROW($N$3:N128))),IF(COUNTIF($N$3:N128,"鸡")=0,10^9,LOOKUP(2,1/($N$3:N128="鸡"),ROW($N$3:N128))),IF(COUNTIF($N$3:N128,"狗")=0,10^9,LOOKUP(2,1/($N$3:N128="狗"),ROW($N$3:N128))),IF(COUNTIF($N$3:N128,"猪")=0,10^9,LOOKUP(2,1/($N$3:N128="猪"),ROW($N$3:N128))))-ROW($N$3)+1),""))),0,IF(ISNUMBER(J128),J128+1,1)))</f>
        <v>2</v>
      </c>
      <c r="K129" s="5">
        <f t="shared" si="12"/>
        <v>5</v>
      </c>
      <c r="M129" s="6" t="str">
        <f t="shared" si="8"/>
        <v>9</v>
      </c>
      <c r="N129" s="2" t="str">
        <f t="shared" si="9"/>
        <v>虎</v>
      </c>
      <c r="O129" s="7" t="str">
        <f>IF(M129="","",IF(COUNTIF(M130:$M$1000,M129)&gt;0,"",M129))</f>
        <v/>
      </c>
      <c r="P129" s="8" t="str">
        <f>IF(N129="","",IF(COUNTIF(N130:$N$1000,N129)&gt;0,"",N129))</f>
        <v/>
      </c>
      <c r="Q129" s="21">
        <f t="shared" si="10"/>
        <v>115</v>
      </c>
      <c r="R129" s="22" t="str">
        <f t="shared" si="11"/>
        <v>鼠</v>
      </c>
      <c r="X129" s="2">
        <v>80</v>
      </c>
      <c r="Y129" s="2" t="s">
        <v>29</v>
      </c>
    </row>
    <row r="130" s="1" customFormat="1" spans="1:25">
      <c r="A130" s="2">
        <v>115056765</v>
      </c>
      <c r="B130" s="2">
        <v>31</v>
      </c>
      <c r="C130" s="2">
        <v>40</v>
      </c>
      <c r="D130" s="2">
        <v>28</v>
      </c>
      <c r="E130" s="2">
        <v>11</v>
      </c>
      <c r="F130" s="2">
        <v>22</v>
      </c>
      <c r="G130" s="2">
        <v>16</v>
      </c>
      <c r="H130" s="3">
        <v>41</v>
      </c>
      <c r="I130" s="2" t="str">
        <f t="shared" si="7"/>
        <v>虎</v>
      </c>
      <c r="J130" s="4">
        <f>IF(H130="","",IF(OR(AND(M130&lt;&gt;"",M130=IFERROR(INDEX($M$3:M129,MIN(IF(COUNTIF($M$3:M129,"0")=0,10^9,LOOKUP(2,1/($M$3:M129="0"),ROW($M$3:M129))),IF(COUNTIF($M$3:M129,"1")=0,10^9,LOOKUP(2,1/($M$3:M129="1"),ROW($M$3:M129))),IF(COUNTIF($M$3:M129,"2")=0,10^9,LOOKUP(2,1/($M$3:M129="2"),ROW($M$3:M129))),IF(COUNTIF($M$3:M129,"3")=0,10^9,LOOKUP(2,1/($M$3:M129="3"),ROW($M$3:M129))),IF(COUNTIF($M$3:M129,"4")=0,10^9,LOOKUP(2,1/($M$3:M129="4"),ROW($M$3:M129))),IF(COUNTIF($M$3:M129,"5")=0,10^9,LOOKUP(2,1/($M$3:M129="5"),ROW($M$3:M129))),IF(COUNTIF($M$3:M129,"6")=0,10^9,LOOKUP(2,1/($M$3:M129="6"),ROW($M$3:M129))),IF(COUNTIF($M$3:M129,"7")=0,10^9,LOOKUP(2,1/($M$3:M129="7"),ROW($M$3:M129))),IF(COUNTIF($M$3:M129,"8")=0,10^9,LOOKUP(2,1/($M$3:M129="8"),ROW($M$3:M129))),IF(COUNTIF($M$3:M129,"9")=0,10^9,LOOKUP(2,1/($M$3:M129="9"),ROW($M$3:M129))))-ROW($M$3)+1),"")),AND(N130&lt;&gt;"",N130=IFERROR(INDEX($N$3:N129,MIN(IF(COUNTIF($N$3:N129,"鼠")=0,10^9,LOOKUP(2,1/($N$3:N129="鼠"),ROW($N$3:N129))),IF(COUNTIF($N$3:N129,"牛")=0,10^9,LOOKUP(2,1/($N$3:N129="牛"),ROW($N$3:N129))),IF(COUNTIF($N$3:N129,"虎")=0,10^9,LOOKUP(2,1/($N$3:N129="虎"),ROW($N$3:N129))),IF(COUNTIF($N$3:N129,"兔")=0,10^9,LOOKUP(2,1/($N$3:N129="兔"),ROW($N$3:N129))),IF(COUNTIF($N$3:N129,"龙")=0,10^9,LOOKUP(2,1/($N$3:N129="龙"),ROW($N$3:N129))),IF(COUNTIF($N$3:N129,"蛇")=0,10^9,LOOKUP(2,1/($N$3:N129="蛇"),ROW($N$3:N129))),IF(COUNTIF($N$3:N129,"马")=0,10^9,LOOKUP(2,1/($N$3:N129="马"),ROW($N$3:N129))),IF(COUNTIF($N$3:N129,"羊")=0,10^9,LOOKUP(2,1/($N$3:N129="羊"),ROW($N$3:N129))),IF(COUNTIF($N$3:N129,"猴")=0,10^9,LOOKUP(2,1/($N$3:N129="猴"),ROW($N$3:N129))),IF(COUNTIF($N$3:N129,"鸡")=0,10^9,LOOKUP(2,1/($N$3:N129="鸡"),ROW($N$3:N129))),IF(COUNTIF($N$3:N129,"狗")=0,10^9,LOOKUP(2,1/($N$3:N129="狗"),ROW($N$3:N129))),IF(COUNTIF($N$3:N129,"猪")=0,10^9,LOOKUP(2,1/($N$3:N129="猪"),ROW($N$3:N129))))-ROW($N$3)+1),""))),0,IF(ISNUMBER(J129),J129+1,1)))</f>
        <v>3</v>
      </c>
      <c r="K130" s="5">
        <f t="shared" si="12"/>
        <v>6</v>
      </c>
      <c r="M130" s="6" t="str">
        <f t="shared" si="8"/>
        <v>1</v>
      </c>
      <c r="N130" s="2" t="str">
        <f t="shared" si="9"/>
        <v>虎</v>
      </c>
      <c r="O130" s="7" t="str">
        <f>IF(M130="","",IF(COUNTIF(M131:$M$1000,M130)&gt;0,"",M130))</f>
        <v>1</v>
      </c>
      <c r="P130" s="8" t="str">
        <f>IF(N130="","",IF(COUNTIF(N131:$N$1000,N130)&gt;0,"",N130))</f>
        <v/>
      </c>
      <c r="Q130" s="21">
        <f t="shared" si="10"/>
        <v>87</v>
      </c>
      <c r="R130" s="22" t="str">
        <f t="shared" si="11"/>
        <v>龙</v>
      </c>
      <c r="X130" s="2">
        <v>92</v>
      </c>
      <c r="Y130" s="2" t="s">
        <v>29</v>
      </c>
    </row>
    <row r="131" s="1" customFormat="1" spans="1:25">
      <c r="A131" s="2">
        <v>115056766</v>
      </c>
      <c r="B131" s="2">
        <v>35</v>
      </c>
      <c r="C131" s="2">
        <v>21</v>
      </c>
      <c r="D131" s="2">
        <v>46</v>
      </c>
      <c r="E131" s="2">
        <v>7</v>
      </c>
      <c r="F131" s="2">
        <v>13</v>
      </c>
      <c r="G131" s="2">
        <v>1</v>
      </c>
      <c r="H131" s="3">
        <v>19</v>
      </c>
      <c r="I131" s="2" t="str">
        <f t="shared" ref="I131:I194" si="13">VLOOKUP(H131,X:Y,2,0)</f>
        <v>鼠</v>
      </c>
      <c r="J131" s="4">
        <f>IF(H131="","",IF(OR(AND(M131&lt;&gt;"",M131=IFERROR(INDEX($M$3:M130,MIN(IF(COUNTIF($M$3:M130,"0")=0,10^9,LOOKUP(2,1/($M$3:M130="0"),ROW($M$3:M130))),IF(COUNTIF($M$3:M130,"1")=0,10^9,LOOKUP(2,1/($M$3:M130="1"),ROW($M$3:M130))),IF(COUNTIF($M$3:M130,"2")=0,10^9,LOOKUP(2,1/($M$3:M130="2"),ROW($M$3:M130))),IF(COUNTIF($M$3:M130,"3")=0,10^9,LOOKUP(2,1/($M$3:M130="3"),ROW($M$3:M130))),IF(COUNTIF($M$3:M130,"4")=0,10^9,LOOKUP(2,1/($M$3:M130="4"),ROW($M$3:M130))),IF(COUNTIF($M$3:M130,"5")=0,10^9,LOOKUP(2,1/($M$3:M130="5"),ROW($M$3:M130))),IF(COUNTIF($M$3:M130,"6")=0,10^9,LOOKUP(2,1/($M$3:M130="6"),ROW($M$3:M130))),IF(COUNTIF($M$3:M130,"7")=0,10^9,LOOKUP(2,1/($M$3:M130="7"),ROW($M$3:M130))),IF(COUNTIF($M$3:M130,"8")=0,10^9,LOOKUP(2,1/($M$3:M130="8"),ROW($M$3:M130))),IF(COUNTIF($M$3:M130,"9")=0,10^9,LOOKUP(2,1/($M$3:M130="9"),ROW($M$3:M130))))-ROW($M$3)+1),"")),AND(N131&lt;&gt;"",N131=IFERROR(INDEX($N$3:N130,MIN(IF(COUNTIF($N$3:N130,"鼠")=0,10^9,LOOKUP(2,1/($N$3:N130="鼠"),ROW($N$3:N130))),IF(COUNTIF($N$3:N130,"牛")=0,10^9,LOOKUP(2,1/($N$3:N130="牛"),ROW($N$3:N130))),IF(COUNTIF($N$3:N130,"虎")=0,10^9,LOOKUP(2,1/($N$3:N130="虎"),ROW($N$3:N130))),IF(COUNTIF($N$3:N130,"兔")=0,10^9,LOOKUP(2,1/($N$3:N130="兔"),ROW($N$3:N130))),IF(COUNTIF($N$3:N130,"龙")=0,10^9,LOOKUP(2,1/($N$3:N130="龙"),ROW($N$3:N130))),IF(COUNTIF($N$3:N130,"蛇")=0,10^9,LOOKUP(2,1/($N$3:N130="蛇"),ROW($N$3:N130))),IF(COUNTIF($N$3:N130,"马")=0,10^9,LOOKUP(2,1/($N$3:N130="马"),ROW($N$3:N130))),IF(COUNTIF($N$3:N130,"羊")=0,10^9,LOOKUP(2,1/($N$3:N130="羊"),ROW($N$3:N130))),IF(COUNTIF($N$3:N130,"猴")=0,10^9,LOOKUP(2,1/($N$3:N130="猴"),ROW($N$3:N130))),IF(COUNTIF($N$3:N130,"鸡")=0,10^9,LOOKUP(2,1/($N$3:N130="鸡"),ROW($N$3:N130))),IF(COUNTIF($N$3:N130,"狗")=0,10^9,LOOKUP(2,1/($N$3:N130="狗"),ROW($N$3:N130))),IF(COUNTIF($N$3:N130,"猪")=0,10^9,LOOKUP(2,1/($N$3:N130="猪"),ROW($N$3:N130))))-ROW($N$3)+1),""))),0,IF(ISNUMBER(J130),J130+1,1)))</f>
        <v>4</v>
      </c>
      <c r="K131" s="5">
        <f t="shared" si="12"/>
        <v>7</v>
      </c>
      <c r="M131" s="6" t="str">
        <f t="shared" ref="M131:M194" si="14">RIGHT(H131,1)</f>
        <v>9</v>
      </c>
      <c r="N131" s="2" t="str">
        <f t="shared" ref="N131:N194" si="15">I131</f>
        <v>鼠</v>
      </c>
      <c r="O131" s="7" t="str">
        <f>IF(M131="","",IF(COUNTIF(M132:$M$1000,M131)&gt;0,"",M131))</f>
        <v/>
      </c>
      <c r="P131" s="8" t="str">
        <f>IF(N131="","",IF(COUNTIF(N132:$N$1000,N131)&gt;0,"",N131))</f>
        <v/>
      </c>
      <c r="Q131" s="21">
        <f t="shared" ref="Q131:Q194" si="16">MOD(INT(SMALL(B131:G131,5)/10)+MOD(SMALL(B131:G131,5),10),10)+INT(SMALL(B131:G131,4)/10)+INT(SMALL(B131:G131,6)/10)+MOD(SMALL(B131:G131,6),10)+SMALL(B131:G131,4)+SMALL(B131:G131,6)+9</f>
        <v>96</v>
      </c>
      <c r="R131" s="22" t="str">
        <f t="shared" ref="R131:R194" si="17">VLOOKUP(Q131,X:Y,2,0)</f>
        <v>羊</v>
      </c>
      <c r="X131" s="2">
        <v>104</v>
      </c>
      <c r="Y131" s="2" t="s">
        <v>29</v>
      </c>
    </row>
    <row r="132" s="1" customFormat="1" spans="1:25">
      <c r="A132" s="2">
        <v>115056767</v>
      </c>
      <c r="B132" s="2">
        <v>35</v>
      </c>
      <c r="C132" s="2">
        <v>45</v>
      </c>
      <c r="D132" s="2">
        <v>23</v>
      </c>
      <c r="E132" s="2">
        <v>22</v>
      </c>
      <c r="F132" s="2">
        <v>47</v>
      </c>
      <c r="G132" s="2">
        <v>12</v>
      </c>
      <c r="H132" s="3">
        <v>43</v>
      </c>
      <c r="I132" s="2" t="str">
        <f t="shared" si="13"/>
        <v>鼠</v>
      </c>
      <c r="J132" s="4">
        <f>IF(H132="","",IF(OR(AND(M132&lt;&gt;"",M132=IFERROR(INDEX($M$3:M131,MIN(IF(COUNTIF($M$3:M131,"0")=0,10^9,LOOKUP(2,1/($M$3:M131="0"),ROW($M$3:M131))),IF(COUNTIF($M$3:M131,"1")=0,10^9,LOOKUP(2,1/($M$3:M131="1"),ROW($M$3:M131))),IF(COUNTIF($M$3:M131,"2")=0,10^9,LOOKUP(2,1/($M$3:M131="2"),ROW($M$3:M131))),IF(COUNTIF($M$3:M131,"3")=0,10^9,LOOKUP(2,1/($M$3:M131="3"),ROW($M$3:M131))),IF(COUNTIF($M$3:M131,"4")=0,10^9,LOOKUP(2,1/($M$3:M131="4"),ROW($M$3:M131))),IF(COUNTIF($M$3:M131,"5")=0,10^9,LOOKUP(2,1/($M$3:M131="5"),ROW($M$3:M131))),IF(COUNTIF($M$3:M131,"6")=0,10^9,LOOKUP(2,1/($M$3:M131="6"),ROW($M$3:M131))),IF(COUNTIF($M$3:M131,"7")=0,10^9,LOOKUP(2,1/($M$3:M131="7"),ROW($M$3:M131))),IF(COUNTIF($M$3:M131,"8")=0,10^9,LOOKUP(2,1/($M$3:M131="8"),ROW($M$3:M131))),IF(COUNTIF($M$3:M131,"9")=0,10^9,LOOKUP(2,1/($M$3:M131="9"),ROW($M$3:M131))))-ROW($M$3)+1),"")),AND(N132&lt;&gt;"",N132=IFERROR(INDEX($N$3:N131,MIN(IF(COUNTIF($N$3:N131,"鼠")=0,10^9,LOOKUP(2,1/($N$3:N131="鼠"),ROW($N$3:N131))),IF(COUNTIF($N$3:N131,"牛")=0,10^9,LOOKUP(2,1/($N$3:N131="牛"),ROW($N$3:N131))),IF(COUNTIF($N$3:N131,"虎")=0,10^9,LOOKUP(2,1/($N$3:N131="虎"),ROW($N$3:N131))),IF(COUNTIF($N$3:N131,"兔")=0,10^9,LOOKUP(2,1/($N$3:N131="兔"),ROW($N$3:N131))),IF(COUNTIF($N$3:N131,"龙")=0,10^9,LOOKUP(2,1/($N$3:N131="龙"),ROW($N$3:N131))),IF(COUNTIF($N$3:N131,"蛇")=0,10^9,LOOKUP(2,1/($N$3:N131="蛇"),ROW($N$3:N131))),IF(COUNTIF($N$3:N131,"马")=0,10^9,LOOKUP(2,1/($N$3:N131="马"),ROW($N$3:N131))),IF(COUNTIF($N$3:N131,"羊")=0,10^9,LOOKUP(2,1/($N$3:N131="羊"),ROW($N$3:N131))),IF(COUNTIF($N$3:N131,"猴")=0,10^9,LOOKUP(2,1/($N$3:N131="猴"),ROW($N$3:N131))),IF(COUNTIF($N$3:N131,"鸡")=0,10^9,LOOKUP(2,1/($N$3:N131="鸡"),ROW($N$3:N131))),IF(COUNTIF($N$3:N131,"狗")=0,10^9,LOOKUP(2,1/($N$3:N131="狗"),ROW($N$3:N131))),IF(COUNTIF($N$3:N131,"猪")=0,10^9,LOOKUP(2,1/($N$3:N131="猪"),ROW($N$3:N131))))-ROW($N$3)+1),""))),0,IF(ISNUMBER(J131),J131+1,1)))</f>
        <v>5</v>
      </c>
      <c r="K132" s="5">
        <f t="shared" ref="K132:K195" si="18">IF(I132=R131,0,K131+1)</f>
        <v>8</v>
      </c>
      <c r="M132" s="6" t="str">
        <f t="shared" si="14"/>
        <v>3</v>
      </c>
      <c r="N132" s="2" t="str">
        <f t="shared" si="15"/>
        <v>鼠</v>
      </c>
      <c r="O132" s="7" t="str">
        <f>IF(M132="","",IF(COUNTIF(M133:$M$1000,M132)&gt;0,"",M132))</f>
        <v/>
      </c>
      <c r="P132" s="8" t="str">
        <f>IF(N132="","",IF(COUNTIF(N133:$N$1000,N132)&gt;0,"",N132))</f>
        <v/>
      </c>
      <c r="Q132" s="21">
        <f t="shared" si="16"/>
        <v>114</v>
      </c>
      <c r="R132" s="22" t="str">
        <f t="shared" si="17"/>
        <v>牛</v>
      </c>
      <c r="X132" s="2">
        <v>116</v>
      </c>
      <c r="Y132" s="2" t="s">
        <v>29</v>
      </c>
    </row>
    <row r="133" s="1" customFormat="1" spans="1:25">
      <c r="A133" s="2">
        <v>115056768</v>
      </c>
      <c r="B133" s="2">
        <v>40</v>
      </c>
      <c r="C133" s="2">
        <v>15</v>
      </c>
      <c r="D133" s="2">
        <v>6</v>
      </c>
      <c r="E133" s="2">
        <v>39</v>
      </c>
      <c r="F133" s="2">
        <v>38</v>
      </c>
      <c r="G133" s="2">
        <v>22</v>
      </c>
      <c r="H133" s="3">
        <v>43</v>
      </c>
      <c r="I133" s="2" t="str">
        <f t="shared" si="13"/>
        <v>鼠</v>
      </c>
      <c r="J133" s="4">
        <f>IF(H133="","",IF(OR(AND(M133&lt;&gt;"",M133=IFERROR(INDEX($M$3:M132,MIN(IF(COUNTIF($M$3:M132,"0")=0,10^9,LOOKUP(2,1/($M$3:M132="0"),ROW($M$3:M132))),IF(COUNTIF($M$3:M132,"1")=0,10^9,LOOKUP(2,1/($M$3:M132="1"),ROW($M$3:M132))),IF(COUNTIF($M$3:M132,"2")=0,10^9,LOOKUP(2,1/($M$3:M132="2"),ROW($M$3:M132))),IF(COUNTIF($M$3:M132,"3")=0,10^9,LOOKUP(2,1/($M$3:M132="3"),ROW($M$3:M132))),IF(COUNTIF($M$3:M132,"4")=0,10^9,LOOKUP(2,1/($M$3:M132="4"),ROW($M$3:M132))),IF(COUNTIF($M$3:M132,"5")=0,10^9,LOOKUP(2,1/($M$3:M132="5"),ROW($M$3:M132))),IF(COUNTIF($M$3:M132,"6")=0,10^9,LOOKUP(2,1/($M$3:M132="6"),ROW($M$3:M132))),IF(COUNTIF($M$3:M132,"7")=0,10^9,LOOKUP(2,1/($M$3:M132="7"),ROW($M$3:M132))),IF(COUNTIF($M$3:M132,"8")=0,10^9,LOOKUP(2,1/($M$3:M132="8"),ROW($M$3:M132))),IF(COUNTIF($M$3:M132,"9")=0,10^9,LOOKUP(2,1/($M$3:M132="9"),ROW($M$3:M132))))-ROW($M$3)+1),"")),AND(N133&lt;&gt;"",N133=IFERROR(INDEX($N$3:N132,MIN(IF(COUNTIF($N$3:N132,"鼠")=0,10^9,LOOKUP(2,1/($N$3:N132="鼠"),ROW($N$3:N132))),IF(COUNTIF($N$3:N132,"牛")=0,10^9,LOOKUP(2,1/($N$3:N132="牛"),ROW($N$3:N132))),IF(COUNTIF($N$3:N132,"虎")=0,10^9,LOOKUP(2,1/($N$3:N132="虎"),ROW($N$3:N132))),IF(COUNTIF($N$3:N132,"兔")=0,10^9,LOOKUP(2,1/($N$3:N132="兔"),ROW($N$3:N132))),IF(COUNTIF($N$3:N132,"龙")=0,10^9,LOOKUP(2,1/($N$3:N132="龙"),ROW($N$3:N132))),IF(COUNTIF($N$3:N132,"蛇")=0,10^9,LOOKUP(2,1/($N$3:N132="蛇"),ROW($N$3:N132))),IF(COUNTIF($N$3:N132,"马")=0,10^9,LOOKUP(2,1/($N$3:N132="马"),ROW($N$3:N132))),IF(COUNTIF($N$3:N132,"羊")=0,10^9,LOOKUP(2,1/($N$3:N132="羊"),ROW($N$3:N132))),IF(COUNTIF($N$3:N132,"猴")=0,10^9,LOOKUP(2,1/($N$3:N132="猴"),ROW($N$3:N132))),IF(COUNTIF($N$3:N132,"鸡")=0,10^9,LOOKUP(2,1/($N$3:N132="鸡"),ROW($N$3:N132))),IF(COUNTIF($N$3:N132,"狗")=0,10^9,LOOKUP(2,1/($N$3:N132="狗"),ROW($N$3:N132))),IF(COUNTIF($N$3:N132,"猪")=0,10^9,LOOKUP(2,1/($N$3:N132="猪"),ROW($N$3:N132))))-ROW($N$3)+1),""))),0,IF(ISNUMBER(J132),J132+1,1)))</f>
        <v>6</v>
      </c>
      <c r="K133" s="5">
        <f t="shared" si="18"/>
        <v>9</v>
      </c>
      <c r="M133" s="6" t="str">
        <f t="shared" si="14"/>
        <v>3</v>
      </c>
      <c r="N133" s="2" t="str">
        <f t="shared" si="15"/>
        <v>鼠</v>
      </c>
      <c r="O133" s="7" t="str">
        <f>IF(M133="","",IF(COUNTIF(M134:$M$1000,M133)&gt;0,"",M133))</f>
        <v/>
      </c>
      <c r="P133" s="8" t="str">
        <f>IF(N133="","",IF(COUNTIF(N134:$N$1000,N133)&gt;0,"",N133))</f>
        <v/>
      </c>
      <c r="Q133" s="21">
        <f t="shared" si="16"/>
        <v>96</v>
      </c>
      <c r="R133" s="22" t="str">
        <f t="shared" si="17"/>
        <v>羊</v>
      </c>
      <c r="X133" s="2">
        <v>128</v>
      </c>
      <c r="Y133" s="2" t="s">
        <v>29</v>
      </c>
    </row>
    <row r="134" s="1" customFormat="1" spans="1:25">
      <c r="A134" s="2">
        <v>115056769</v>
      </c>
      <c r="B134" s="2">
        <v>43</v>
      </c>
      <c r="C134" s="2">
        <v>48</v>
      </c>
      <c r="D134" s="2">
        <v>14</v>
      </c>
      <c r="E134" s="2">
        <v>40</v>
      </c>
      <c r="F134" s="2">
        <v>8</v>
      </c>
      <c r="G134" s="2">
        <v>3</v>
      </c>
      <c r="H134" s="3">
        <v>7</v>
      </c>
      <c r="I134" s="2" t="str">
        <f t="shared" si="13"/>
        <v>鼠</v>
      </c>
      <c r="J134" s="4">
        <f>IF(H134="","",IF(OR(AND(M134&lt;&gt;"",M134=IFERROR(INDEX($M$3:M133,MIN(IF(COUNTIF($M$3:M133,"0")=0,10^9,LOOKUP(2,1/($M$3:M133="0"),ROW($M$3:M133))),IF(COUNTIF($M$3:M133,"1")=0,10^9,LOOKUP(2,1/($M$3:M133="1"),ROW($M$3:M133))),IF(COUNTIF($M$3:M133,"2")=0,10^9,LOOKUP(2,1/($M$3:M133="2"),ROW($M$3:M133))),IF(COUNTIF($M$3:M133,"3")=0,10^9,LOOKUP(2,1/($M$3:M133="3"),ROW($M$3:M133))),IF(COUNTIF($M$3:M133,"4")=0,10^9,LOOKUP(2,1/($M$3:M133="4"),ROW($M$3:M133))),IF(COUNTIF($M$3:M133,"5")=0,10^9,LOOKUP(2,1/($M$3:M133="5"),ROW($M$3:M133))),IF(COUNTIF($M$3:M133,"6")=0,10^9,LOOKUP(2,1/($M$3:M133="6"),ROW($M$3:M133))),IF(COUNTIF($M$3:M133,"7")=0,10^9,LOOKUP(2,1/($M$3:M133="7"),ROW($M$3:M133))),IF(COUNTIF($M$3:M133,"8")=0,10^9,LOOKUP(2,1/($M$3:M133="8"),ROW($M$3:M133))),IF(COUNTIF($M$3:M133,"9")=0,10^9,LOOKUP(2,1/($M$3:M133="9"),ROW($M$3:M133))))-ROW($M$3)+1),"")),AND(N134&lt;&gt;"",N134=IFERROR(INDEX($N$3:N133,MIN(IF(COUNTIF($N$3:N133,"鼠")=0,10^9,LOOKUP(2,1/($N$3:N133="鼠"),ROW($N$3:N133))),IF(COUNTIF($N$3:N133,"牛")=0,10^9,LOOKUP(2,1/($N$3:N133="牛"),ROW($N$3:N133))),IF(COUNTIF($N$3:N133,"虎")=0,10^9,LOOKUP(2,1/($N$3:N133="虎"),ROW($N$3:N133))),IF(COUNTIF($N$3:N133,"兔")=0,10^9,LOOKUP(2,1/($N$3:N133="兔"),ROW($N$3:N133))),IF(COUNTIF($N$3:N133,"龙")=0,10^9,LOOKUP(2,1/($N$3:N133="龙"),ROW($N$3:N133))),IF(COUNTIF($N$3:N133,"蛇")=0,10^9,LOOKUP(2,1/($N$3:N133="蛇"),ROW($N$3:N133))),IF(COUNTIF($N$3:N133,"马")=0,10^9,LOOKUP(2,1/($N$3:N133="马"),ROW($N$3:N133))),IF(COUNTIF($N$3:N133,"羊")=0,10^9,LOOKUP(2,1/($N$3:N133="羊"),ROW($N$3:N133))),IF(COUNTIF($N$3:N133,"猴")=0,10^9,LOOKUP(2,1/($N$3:N133="猴"),ROW($N$3:N133))),IF(COUNTIF($N$3:N133,"鸡")=0,10^9,LOOKUP(2,1/($N$3:N133="鸡"),ROW($N$3:N133))),IF(COUNTIF($N$3:N133,"狗")=0,10^9,LOOKUP(2,1/($N$3:N133="狗"),ROW($N$3:N133))),IF(COUNTIF($N$3:N133,"猪")=0,10^9,LOOKUP(2,1/($N$3:N133="猪"),ROW($N$3:N133))))-ROW($N$3)+1),""))),0,IF(ISNUMBER(J133),J133+1,1)))</f>
        <v>7</v>
      </c>
      <c r="K134" s="5">
        <f t="shared" si="18"/>
        <v>10</v>
      </c>
      <c r="M134" s="6" t="str">
        <f t="shared" si="14"/>
        <v>7</v>
      </c>
      <c r="N134" s="2" t="str">
        <f t="shared" si="15"/>
        <v>鼠</v>
      </c>
      <c r="O134" s="7" t="str">
        <f>IF(M134="","",IF(COUNTIF(M135:$M$1000,M134)&gt;0,"",M134))</f>
        <v>7</v>
      </c>
      <c r="P134" s="8" t="str">
        <f>IF(N134="","",IF(COUNTIF(N135:$N$1000,N134)&gt;0,"",N134))</f>
        <v/>
      </c>
      <c r="Q134" s="21">
        <f t="shared" si="16"/>
        <v>120</v>
      </c>
      <c r="R134" s="22" t="str">
        <f t="shared" si="17"/>
        <v>羊</v>
      </c>
      <c r="X134" s="2"/>
      <c r="Y134" s="2"/>
    </row>
    <row r="135" s="1" customFormat="1" spans="1:25">
      <c r="A135" s="2">
        <v>115056770</v>
      </c>
      <c r="B135" s="2">
        <v>13</v>
      </c>
      <c r="C135" s="2">
        <v>23</v>
      </c>
      <c r="D135" s="2">
        <v>15</v>
      </c>
      <c r="E135" s="2">
        <v>5</v>
      </c>
      <c r="F135" s="2">
        <v>49</v>
      </c>
      <c r="G135" s="2">
        <v>28</v>
      </c>
      <c r="H135" s="3">
        <v>26</v>
      </c>
      <c r="I135" s="2" t="str">
        <f t="shared" si="13"/>
        <v>蛇</v>
      </c>
      <c r="J135" s="4">
        <f>IF(H135="","",IF(OR(AND(M135&lt;&gt;"",M135=IFERROR(INDEX($M$3:M134,MIN(IF(COUNTIF($M$3:M134,"0")=0,10^9,LOOKUP(2,1/($M$3:M134="0"),ROW($M$3:M134))),IF(COUNTIF($M$3:M134,"1")=0,10^9,LOOKUP(2,1/($M$3:M134="1"),ROW($M$3:M134))),IF(COUNTIF($M$3:M134,"2")=0,10^9,LOOKUP(2,1/($M$3:M134="2"),ROW($M$3:M134))),IF(COUNTIF($M$3:M134,"3")=0,10^9,LOOKUP(2,1/($M$3:M134="3"),ROW($M$3:M134))),IF(COUNTIF($M$3:M134,"4")=0,10^9,LOOKUP(2,1/($M$3:M134="4"),ROW($M$3:M134))),IF(COUNTIF($M$3:M134,"5")=0,10^9,LOOKUP(2,1/($M$3:M134="5"),ROW($M$3:M134))),IF(COUNTIF($M$3:M134,"6")=0,10^9,LOOKUP(2,1/($M$3:M134="6"),ROW($M$3:M134))),IF(COUNTIF($M$3:M134,"7")=0,10^9,LOOKUP(2,1/($M$3:M134="7"),ROW($M$3:M134))),IF(COUNTIF($M$3:M134,"8")=0,10^9,LOOKUP(2,1/($M$3:M134="8"),ROW($M$3:M134))),IF(COUNTIF($M$3:M134,"9")=0,10^9,LOOKUP(2,1/($M$3:M134="9"),ROW($M$3:M134))))-ROW($M$3)+1),"")),AND(N135&lt;&gt;"",N135=IFERROR(INDEX($N$3:N134,MIN(IF(COUNTIF($N$3:N134,"鼠")=0,10^9,LOOKUP(2,1/($N$3:N134="鼠"),ROW($N$3:N134))),IF(COUNTIF($N$3:N134,"牛")=0,10^9,LOOKUP(2,1/($N$3:N134="牛"),ROW($N$3:N134))),IF(COUNTIF($N$3:N134,"虎")=0,10^9,LOOKUP(2,1/($N$3:N134="虎"),ROW($N$3:N134))),IF(COUNTIF($N$3:N134,"兔")=0,10^9,LOOKUP(2,1/($N$3:N134="兔"),ROW($N$3:N134))),IF(COUNTIF($N$3:N134,"龙")=0,10^9,LOOKUP(2,1/($N$3:N134="龙"),ROW($N$3:N134))),IF(COUNTIF($N$3:N134,"蛇")=0,10^9,LOOKUP(2,1/($N$3:N134="蛇"),ROW($N$3:N134))),IF(COUNTIF($N$3:N134,"马")=0,10^9,LOOKUP(2,1/($N$3:N134="马"),ROW($N$3:N134))),IF(COUNTIF($N$3:N134,"羊")=0,10^9,LOOKUP(2,1/($N$3:N134="羊"),ROW($N$3:N134))),IF(COUNTIF($N$3:N134,"猴")=0,10^9,LOOKUP(2,1/($N$3:N134="猴"),ROW($N$3:N134))),IF(COUNTIF($N$3:N134,"鸡")=0,10^9,LOOKUP(2,1/($N$3:N134="鸡"),ROW($N$3:N134))),IF(COUNTIF($N$3:N134,"狗")=0,10^9,LOOKUP(2,1/($N$3:N134="狗"),ROW($N$3:N134))),IF(COUNTIF($N$3:N134,"猪")=0,10^9,LOOKUP(2,1/($N$3:N134="猪"),ROW($N$3:N134))))-ROW($N$3)+1),""))),0,IF(ISNUMBER(J134),J134+1,1)))</f>
        <v>8</v>
      </c>
      <c r="K135" s="5">
        <f t="shared" si="18"/>
        <v>11</v>
      </c>
      <c r="M135" s="6" t="str">
        <f t="shared" si="14"/>
        <v>6</v>
      </c>
      <c r="N135" s="2" t="str">
        <f t="shared" si="15"/>
        <v>蛇</v>
      </c>
      <c r="O135" s="7" t="str">
        <f>IF(M135="","",IF(COUNTIF(M136:$M$1000,M135)&gt;0,"",M135))</f>
        <v>6</v>
      </c>
      <c r="P135" s="8" t="str">
        <f>IF(N135="","",IF(COUNTIF(N136:$N$1000,N135)&gt;0,"",N135))</f>
        <v>蛇</v>
      </c>
      <c r="Q135" s="21">
        <f t="shared" si="16"/>
        <v>96</v>
      </c>
      <c r="R135" s="22" t="str">
        <f t="shared" si="17"/>
        <v>羊</v>
      </c>
      <c r="X135" s="2"/>
      <c r="Y135" s="2"/>
    </row>
    <row r="136" s="1" customFormat="1" spans="1:25">
      <c r="A136" s="2">
        <v>115056771</v>
      </c>
      <c r="B136" s="2">
        <v>49</v>
      </c>
      <c r="C136" s="2">
        <v>3</v>
      </c>
      <c r="D136" s="2">
        <v>1</v>
      </c>
      <c r="E136" s="2">
        <v>47</v>
      </c>
      <c r="F136" s="2">
        <v>27</v>
      </c>
      <c r="G136" s="2">
        <v>38</v>
      </c>
      <c r="H136" s="3">
        <v>5</v>
      </c>
      <c r="I136" s="2" t="str">
        <f t="shared" si="13"/>
        <v>虎</v>
      </c>
      <c r="J136" s="4">
        <f>IF(H136="","",IF(OR(AND(M136&lt;&gt;"",M136=IFERROR(INDEX($M$3:M135,MIN(IF(COUNTIF($M$3:M135,"0")=0,10^9,LOOKUP(2,1/($M$3:M135="0"),ROW($M$3:M135))),IF(COUNTIF($M$3:M135,"1")=0,10^9,LOOKUP(2,1/($M$3:M135="1"),ROW($M$3:M135))),IF(COUNTIF($M$3:M135,"2")=0,10^9,LOOKUP(2,1/($M$3:M135="2"),ROW($M$3:M135))),IF(COUNTIF($M$3:M135,"3")=0,10^9,LOOKUP(2,1/($M$3:M135="3"),ROW($M$3:M135))),IF(COUNTIF($M$3:M135,"4")=0,10^9,LOOKUP(2,1/($M$3:M135="4"),ROW($M$3:M135))),IF(COUNTIF($M$3:M135,"5")=0,10^9,LOOKUP(2,1/($M$3:M135="5"),ROW($M$3:M135))),IF(COUNTIF($M$3:M135,"6")=0,10^9,LOOKUP(2,1/($M$3:M135="6"),ROW($M$3:M135))),IF(COUNTIF($M$3:M135,"7")=0,10^9,LOOKUP(2,1/($M$3:M135="7"),ROW($M$3:M135))),IF(COUNTIF($M$3:M135,"8")=0,10^9,LOOKUP(2,1/($M$3:M135="8"),ROW($M$3:M135))),IF(COUNTIF($M$3:M135,"9")=0,10^9,LOOKUP(2,1/($M$3:M135="9"),ROW($M$3:M135))))-ROW($M$3)+1),"")),AND(N136&lt;&gt;"",N136=IFERROR(INDEX($N$3:N135,MIN(IF(COUNTIF($N$3:N135,"鼠")=0,10^9,LOOKUP(2,1/($N$3:N135="鼠"),ROW($N$3:N135))),IF(COUNTIF($N$3:N135,"牛")=0,10^9,LOOKUP(2,1/($N$3:N135="牛"),ROW($N$3:N135))),IF(COUNTIF($N$3:N135,"虎")=0,10^9,LOOKUP(2,1/($N$3:N135="虎"),ROW($N$3:N135))),IF(COUNTIF($N$3:N135,"兔")=0,10^9,LOOKUP(2,1/($N$3:N135="兔"),ROW($N$3:N135))),IF(COUNTIF($N$3:N135,"龙")=0,10^9,LOOKUP(2,1/($N$3:N135="龙"),ROW($N$3:N135))),IF(COUNTIF($N$3:N135,"蛇")=0,10^9,LOOKUP(2,1/($N$3:N135="蛇"),ROW($N$3:N135))),IF(COUNTIF($N$3:N135,"马")=0,10^9,LOOKUP(2,1/($N$3:N135="马"),ROW($N$3:N135))),IF(COUNTIF($N$3:N135,"羊")=0,10^9,LOOKUP(2,1/($N$3:N135="羊"),ROW($N$3:N135))),IF(COUNTIF($N$3:N135,"猴")=0,10^9,LOOKUP(2,1/($N$3:N135="猴"),ROW($N$3:N135))),IF(COUNTIF($N$3:N135,"鸡")=0,10^9,LOOKUP(2,1/($N$3:N135="鸡"),ROW($N$3:N135))),IF(COUNTIF($N$3:N135,"狗")=0,10^9,LOOKUP(2,1/($N$3:N135="狗"),ROW($N$3:N135))),IF(COUNTIF($N$3:N135,"猪")=0,10^9,LOOKUP(2,1/($N$3:N135="猪"),ROW($N$3:N135))))-ROW($N$3)+1),""))),0,IF(ISNUMBER(J135),J135+1,1)))</f>
        <v>9</v>
      </c>
      <c r="K136" s="5">
        <f t="shared" si="18"/>
        <v>12</v>
      </c>
      <c r="M136" s="6" t="str">
        <f t="shared" si="14"/>
        <v>5</v>
      </c>
      <c r="N136" s="2" t="str">
        <f t="shared" si="15"/>
        <v>虎</v>
      </c>
      <c r="O136" s="7" t="str">
        <f>IF(M136="","",IF(COUNTIF(M137:$M$1000,M136)&gt;0,"",M136))</f>
        <v>5</v>
      </c>
      <c r="P136" s="8" t="str">
        <f>IF(N136="","",IF(COUNTIF(N137:$N$1000,N136)&gt;0,"",N136))</f>
        <v/>
      </c>
      <c r="Q136" s="21">
        <f t="shared" si="16"/>
        <v>113</v>
      </c>
      <c r="R136" s="22" t="str">
        <f t="shared" si="17"/>
        <v>虎</v>
      </c>
      <c r="X136" s="2"/>
      <c r="Y136" s="2"/>
    </row>
    <row r="137" s="1" customFormat="1" spans="1:25">
      <c r="A137" s="2">
        <v>115056772</v>
      </c>
      <c r="B137" s="2">
        <v>49</v>
      </c>
      <c r="C137" s="2">
        <v>20</v>
      </c>
      <c r="D137" s="2">
        <v>18</v>
      </c>
      <c r="E137" s="2">
        <v>42</v>
      </c>
      <c r="F137" s="2">
        <v>13</v>
      </c>
      <c r="G137" s="2">
        <v>22</v>
      </c>
      <c r="H137" s="3">
        <v>9</v>
      </c>
      <c r="I137" s="2" t="str">
        <f t="shared" si="13"/>
        <v>狗</v>
      </c>
      <c r="J137" s="4">
        <f>IF(H137="","",IF(OR(AND(M137&lt;&gt;"",M137=IFERROR(INDEX($M$3:M136,MIN(IF(COUNTIF($M$3:M136,"0")=0,10^9,LOOKUP(2,1/($M$3:M136="0"),ROW($M$3:M136))),IF(COUNTIF($M$3:M136,"1")=0,10^9,LOOKUP(2,1/($M$3:M136="1"),ROW($M$3:M136))),IF(COUNTIF($M$3:M136,"2")=0,10^9,LOOKUP(2,1/($M$3:M136="2"),ROW($M$3:M136))),IF(COUNTIF($M$3:M136,"3")=0,10^9,LOOKUP(2,1/($M$3:M136="3"),ROW($M$3:M136))),IF(COUNTIF($M$3:M136,"4")=0,10^9,LOOKUP(2,1/($M$3:M136="4"),ROW($M$3:M136))),IF(COUNTIF($M$3:M136,"5")=0,10^9,LOOKUP(2,1/($M$3:M136="5"),ROW($M$3:M136))),IF(COUNTIF($M$3:M136,"6")=0,10^9,LOOKUP(2,1/($M$3:M136="6"),ROW($M$3:M136))),IF(COUNTIF($M$3:M136,"7")=0,10^9,LOOKUP(2,1/($M$3:M136="7"),ROW($M$3:M136))),IF(COUNTIF($M$3:M136,"8")=0,10^9,LOOKUP(2,1/($M$3:M136="8"),ROW($M$3:M136))),IF(COUNTIF($M$3:M136,"9")=0,10^9,LOOKUP(2,1/($M$3:M136="9"),ROW($M$3:M136))))-ROW($M$3)+1),"")),AND(N137&lt;&gt;"",N137=IFERROR(INDEX($N$3:N136,MIN(IF(COUNTIF($N$3:N136,"鼠")=0,10^9,LOOKUP(2,1/($N$3:N136="鼠"),ROW($N$3:N136))),IF(COUNTIF($N$3:N136,"牛")=0,10^9,LOOKUP(2,1/($N$3:N136="牛"),ROW($N$3:N136))),IF(COUNTIF($N$3:N136,"虎")=0,10^9,LOOKUP(2,1/($N$3:N136="虎"),ROW($N$3:N136))),IF(COUNTIF($N$3:N136,"兔")=0,10^9,LOOKUP(2,1/($N$3:N136="兔"),ROW($N$3:N136))),IF(COUNTIF($N$3:N136,"龙")=0,10^9,LOOKUP(2,1/($N$3:N136="龙"),ROW($N$3:N136))),IF(COUNTIF($N$3:N136,"蛇")=0,10^9,LOOKUP(2,1/($N$3:N136="蛇"),ROW($N$3:N136))),IF(COUNTIF($N$3:N136,"马")=0,10^9,LOOKUP(2,1/($N$3:N136="马"),ROW($N$3:N136))),IF(COUNTIF($N$3:N136,"羊")=0,10^9,LOOKUP(2,1/($N$3:N136="羊"),ROW($N$3:N136))),IF(COUNTIF($N$3:N136,"猴")=0,10^9,LOOKUP(2,1/($N$3:N136="猴"),ROW($N$3:N136))),IF(COUNTIF($N$3:N136,"鸡")=0,10^9,LOOKUP(2,1/($N$3:N136="鸡"),ROW($N$3:N136))),IF(COUNTIF($N$3:N136,"狗")=0,10^9,LOOKUP(2,1/($N$3:N136="狗"),ROW($N$3:N136))),IF(COUNTIF($N$3:N136,"猪")=0,10^9,LOOKUP(2,1/($N$3:N136="猪"),ROW($N$3:N136))))-ROW($N$3)+1),""))),0,IF(ISNUMBER(J136),J136+1,1)))</f>
        <v>10</v>
      </c>
      <c r="K137" s="5">
        <f t="shared" si="18"/>
        <v>13</v>
      </c>
      <c r="M137" s="6" t="str">
        <f t="shared" si="14"/>
        <v>9</v>
      </c>
      <c r="N137" s="2" t="str">
        <f t="shared" si="15"/>
        <v>狗</v>
      </c>
      <c r="O137" s="7" t="str">
        <f>IF(M137="","",IF(COUNTIF(M138:$M$1000,M137)&gt;0,"",M137))</f>
        <v/>
      </c>
      <c r="P137" s="8" t="str">
        <f>IF(N137="","",IF(COUNTIF(N138:$N$1000,N137)&gt;0,"",N137))</f>
        <v>狗</v>
      </c>
      <c r="Q137" s="21">
        <f t="shared" si="16"/>
        <v>101</v>
      </c>
      <c r="R137" s="22" t="str">
        <f t="shared" si="17"/>
        <v>虎</v>
      </c>
      <c r="X137" s="2"/>
      <c r="Y137" s="2"/>
    </row>
    <row r="138" s="1" customFormat="1" spans="1:25">
      <c r="A138" s="2">
        <v>115056773</v>
      </c>
      <c r="B138" s="2">
        <v>11</v>
      </c>
      <c r="C138" s="2">
        <v>48</v>
      </c>
      <c r="D138" s="2">
        <v>10</v>
      </c>
      <c r="E138" s="2">
        <v>22</v>
      </c>
      <c r="F138" s="2">
        <v>26</v>
      </c>
      <c r="G138" s="2">
        <v>32</v>
      </c>
      <c r="H138" s="3">
        <v>43</v>
      </c>
      <c r="I138" s="2" t="str">
        <f t="shared" si="13"/>
        <v>鼠</v>
      </c>
      <c r="J138" s="4">
        <f>IF(H138="","",IF(OR(AND(M138&lt;&gt;"",M138=IFERROR(INDEX($M$3:M137,MIN(IF(COUNTIF($M$3:M137,"0")=0,10^9,LOOKUP(2,1/($M$3:M137="0"),ROW($M$3:M137))),IF(COUNTIF($M$3:M137,"1")=0,10^9,LOOKUP(2,1/($M$3:M137="1"),ROW($M$3:M137))),IF(COUNTIF($M$3:M137,"2")=0,10^9,LOOKUP(2,1/($M$3:M137="2"),ROW($M$3:M137))),IF(COUNTIF($M$3:M137,"3")=0,10^9,LOOKUP(2,1/($M$3:M137="3"),ROW($M$3:M137))),IF(COUNTIF($M$3:M137,"4")=0,10^9,LOOKUP(2,1/($M$3:M137="4"),ROW($M$3:M137))),IF(COUNTIF($M$3:M137,"5")=0,10^9,LOOKUP(2,1/($M$3:M137="5"),ROW($M$3:M137))),IF(COUNTIF($M$3:M137,"6")=0,10^9,LOOKUP(2,1/($M$3:M137="6"),ROW($M$3:M137))),IF(COUNTIF($M$3:M137,"7")=0,10^9,LOOKUP(2,1/($M$3:M137="7"),ROW($M$3:M137))),IF(COUNTIF($M$3:M137,"8")=0,10^9,LOOKUP(2,1/($M$3:M137="8"),ROW($M$3:M137))),IF(COUNTIF($M$3:M137,"9")=0,10^9,LOOKUP(2,1/($M$3:M137="9"),ROW($M$3:M137))))-ROW($M$3)+1),"")),AND(N138&lt;&gt;"",N138=IFERROR(INDEX($N$3:N137,MIN(IF(COUNTIF($N$3:N137,"鼠")=0,10^9,LOOKUP(2,1/($N$3:N137="鼠"),ROW($N$3:N137))),IF(COUNTIF($N$3:N137,"牛")=0,10^9,LOOKUP(2,1/($N$3:N137="牛"),ROW($N$3:N137))),IF(COUNTIF($N$3:N137,"虎")=0,10^9,LOOKUP(2,1/($N$3:N137="虎"),ROW($N$3:N137))),IF(COUNTIF($N$3:N137,"兔")=0,10^9,LOOKUP(2,1/($N$3:N137="兔"),ROW($N$3:N137))),IF(COUNTIF($N$3:N137,"龙")=0,10^9,LOOKUP(2,1/($N$3:N137="龙"),ROW($N$3:N137))),IF(COUNTIF($N$3:N137,"蛇")=0,10^9,LOOKUP(2,1/($N$3:N137="蛇"),ROW($N$3:N137))),IF(COUNTIF($N$3:N137,"马")=0,10^9,LOOKUP(2,1/($N$3:N137="马"),ROW($N$3:N137))),IF(COUNTIF($N$3:N137,"羊")=0,10^9,LOOKUP(2,1/($N$3:N137="羊"),ROW($N$3:N137))),IF(COUNTIF($N$3:N137,"猴")=0,10^9,LOOKUP(2,1/($N$3:N137="猴"),ROW($N$3:N137))),IF(COUNTIF($N$3:N137,"鸡")=0,10^9,LOOKUP(2,1/($N$3:N137="鸡"),ROW($N$3:N137))),IF(COUNTIF($N$3:N137,"狗")=0,10^9,LOOKUP(2,1/($N$3:N137="狗"),ROW($N$3:N137))),IF(COUNTIF($N$3:N137,"猪")=0,10^9,LOOKUP(2,1/($N$3:N137="猪"),ROW($N$3:N137))))-ROW($N$3)+1),""))),0,IF(ISNUMBER(J137),J137+1,1)))</f>
        <v>11</v>
      </c>
      <c r="K138" s="5">
        <f t="shared" si="18"/>
        <v>14</v>
      </c>
      <c r="M138" s="6" t="str">
        <f t="shared" si="14"/>
        <v>3</v>
      </c>
      <c r="N138" s="2" t="str">
        <f t="shared" si="15"/>
        <v>鼠</v>
      </c>
      <c r="O138" s="7" t="str">
        <f>IF(M138="","",IF(COUNTIF(M139:$M$1000,M138)&gt;0,"",M138))</f>
        <v>3</v>
      </c>
      <c r="P138" s="8" t="str">
        <f>IF(N138="","",IF(COUNTIF(N139:$N$1000,N138)&gt;0,"",N138))</f>
        <v>鼠</v>
      </c>
      <c r="Q138" s="21">
        <f t="shared" si="16"/>
        <v>102</v>
      </c>
      <c r="R138" s="22" t="str">
        <f t="shared" si="17"/>
        <v>牛</v>
      </c>
      <c r="X138" s="2"/>
      <c r="Y138" s="2"/>
    </row>
    <row r="139" s="1" customFormat="1" spans="1:25">
      <c r="A139" s="2">
        <v>115056774</v>
      </c>
      <c r="B139" s="2">
        <v>49</v>
      </c>
      <c r="C139" s="2">
        <v>5</v>
      </c>
      <c r="D139" s="2">
        <v>15</v>
      </c>
      <c r="E139" s="2">
        <v>44</v>
      </c>
      <c r="F139" s="2">
        <v>47</v>
      </c>
      <c r="G139" s="2">
        <v>27</v>
      </c>
      <c r="H139" s="3">
        <v>29</v>
      </c>
      <c r="I139" s="2" t="str">
        <f t="shared" si="13"/>
        <v>虎</v>
      </c>
      <c r="J139" s="4">
        <f>IF(H139="","",IF(OR(AND(M139&lt;&gt;"",M139=IFERROR(INDEX($M$3:M138,MIN(IF(COUNTIF($M$3:M138,"0")=0,10^9,LOOKUP(2,1/($M$3:M138="0"),ROW($M$3:M138))),IF(COUNTIF($M$3:M138,"1")=0,10^9,LOOKUP(2,1/($M$3:M138="1"),ROW($M$3:M138))),IF(COUNTIF($M$3:M138,"2")=0,10^9,LOOKUP(2,1/($M$3:M138="2"),ROW($M$3:M138))),IF(COUNTIF($M$3:M138,"3")=0,10^9,LOOKUP(2,1/($M$3:M138="3"),ROW($M$3:M138))),IF(COUNTIF($M$3:M138,"4")=0,10^9,LOOKUP(2,1/($M$3:M138="4"),ROW($M$3:M138))),IF(COUNTIF($M$3:M138,"5")=0,10^9,LOOKUP(2,1/($M$3:M138="5"),ROW($M$3:M138))),IF(COUNTIF($M$3:M138,"6")=0,10^9,LOOKUP(2,1/($M$3:M138="6"),ROW($M$3:M138))),IF(COUNTIF($M$3:M138,"7")=0,10^9,LOOKUP(2,1/($M$3:M138="7"),ROW($M$3:M138))),IF(COUNTIF($M$3:M138,"8")=0,10^9,LOOKUP(2,1/($M$3:M138="8"),ROW($M$3:M138))),IF(COUNTIF($M$3:M138,"9")=0,10^9,LOOKUP(2,1/($M$3:M138="9"),ROW($M$3:M138))))-ROW($M$3)+1),"")),AND(N139&lt;&gt;"",N139=IFERROR(INDEX($N$3:N138,MIN(IF(COUNTIF($N$3:N138,"鼠")=0,10^9,LOOKUP(2,1/($N$3:N138="鼠"),ROW($N$3:N138))),IF(COUNTIF($N$3:N138,"牛")=0,10^9,LOOKUP(2,1/($N$3:N138="牛"),ROW($N$3:N138))),IF(COUNTIF($N$3:N138,"虎")=0,10^9,LOOKUP(2,1/($N$3:N138="虎"),ROW($N$3:N138))),IF(COUNTIF($N$3:N138,"兔")=0,10^9,LOOKUP(2,1/($N$3:N138="兔"),ROW($N$3:N138))),IF(COUNTIF($N$3:N138,"龙")=0,10^9,LOOKUP(2,1/($N$3:N138="龙"),ROW($N$3:N138))),IF(COUNTIF($N$3:N138,"蛇")=0,10^9,LOOKUP(2,1/($N$3:N138="蛇"),ROW($N$3:N138))),IF(COUNTIF($N$3:N138,"马")=0,10^9,LOOKUP(2,1/($N$3:N138="马"),ROW($N$3:N138))),IF(COUNTIF($N$3:N138,"羊")=0,10^9,LOOKUP(2,1/($N$3:N138="羊"),ROW($N$3:N138))),IF(COUNTIF($N$3:N138,"猴")=0,10^9,LOOKUP(2,1/($N$3:N138="猴"),ROW($N$3:N138))),IF(COUNTIF($N$3:N138,"鸡")=0,10^9,LOOKUP(2,1/($N$3:N138="鸡"),ROW($N$3:N138))),IF(COUNTIF($N$3:N138,"狗")=0,10^9,LOOKUP(2,1/($N$3:N138="狗"),ROW($N$3:N138))),IF(COUNTIF($N$3:N138,"猪")=0,10^9,LOOKUP(2,1/($N$3:N138="猪"),ROW($N$3:N138))))-ROW($N$3)+1),""))),0,IF(ISNUMBER(J138),J138+1,1)))</f>
        <v>12</v>
      </c>
      <c r="K139" s="5">
        <f t="shared" si="18"/>
        <v>15</v>
      </c>
      <c r="M139" s="6" t="str">
        <f t="shared" si="14"/>
        <v>9</v>
      </c>
      <c r="N139" s="2" t="str">
        <f t="shared" si="15"/>
        <v>虎</v>
      </c>
      <c r="O139" s="7" t="str">
        <f>IF(M139="","",IF(COUNTIF(M140:$M$1000,M139)&gt;0,"",M139))</f>
        <v>9</v>
      </c>
      <c r="P139" s="8" t="str">
        <f>IF(N139="","",IF(COUNTIF(N140:$N$1000,N139)&gt;0,"",N139))</f>
        <v>虎</v>
      </c>
      <c r="Q139" s="21">
        <f t="shared" si="16"/>
        <v>120</v>
      </c>
      <c r="R139" s="22" t="str">
        <f t="shared" si="17"/>
        <v>羊</v>
      </c>
      <c r="X139" s="2"/>
      <c r="Y139" s="2"/>
    </row>
    <row r="140" s="1" customFormat="1" spans="1:25">
      <c r="A140" s="2">
        <v>115056775</v>
      </c>
      <c r="B140" s="2"/>
      <c r="C140" s="2"/>
      <c r="D140" s="2"/>
      <c r="E140" s="2"/>
      <c r="F140" s="2"/>
      <c r="G140" s="2"/>
      <c r="H140" s="3"/>
      <c r="I140" s="2" t="e">
        <f t="shared" si="13"/>
        <v>#N/A</v>
      </c>
      <c r="J140" s="4" t="str">
        <f>IF(H140="","",IF(OR(AND(M140&lt;&gt;"",M140=IFERROR(INDEX($M$3:M139,MIN(IF(COUNTIF($M$3:M139,"0")=0,10^9,LOOKUP(2,1/($M$3:M139="0"),ROW($M$3:M139))),IF(COUNTIF($M$3:M139,"1")=0,10^9,LOOKUP(2,1/($M$3:M139="1"),ROW($M$3:M139))),IF(COUNTIF($M$3:M139,"2")=0,10^9,LOOKUP(2,1/($M$3:M139="2"),ROW($M$3:M139))),IF(COUNTIF($M$3:M139,"3")=0,10^9,LOOKUP(2,1/($M$3:M139="3"),ROW($M$3:M139))),IF(COUNTIF($M$3:M139,"4")=0,10^9,LOOKUP(2,1/($M$3:M139="4"),ROW($M$3:M139))),IF(COUNTIF($M$3:M139,"5")=0,10^9,LOOKUP(2,1/($M$3:M139="5"),ROW($M$3:M139))),IF(COUNTIF($M$3:M139,"6")=0,10^9,LOOKUP(2,1/($M$3:M139="6"),ROW($M$3:M139))),IF(COUNTIF($M$3:M139,"7")=0,10^9,LOOKUP(2,1/($M$3:M139="7"),ROW($M$3:M139))),IF(COUNTIF($M$3:M139,"8")=0,10^9,LOOKUP(2,1/($M$3:M139="8"),ROW($M$3:M139))),IF(COUNTIF($M$3:M139,"9")=0,10^9,LOOKUP(2,1/($M$3:M139="9"),ROW($M$3:M139))))-ROW($M$3)+1),"")),AND(N140&lt;&gt;"",N140=IFERROR(INDEX($N$3:N139,MIN(IF(COUNTIF($N$3:N139,"鼠")=0,10^9,LOOKUP(2,1/($N$3:N139="鼠"),ROW($N$3:N139))),IF(COUNTIF($N$3:N139,"牛")=0,10^9,LOOKUP(2,1/($N$3:N139="牛"),ROW($N$3:N139))),IF(COUNTIF($N$3:N139,"虎")=0,10^9,LOOKUP(2,1/($N$3:N139="虎"),ROW($N$3:N139))),IF(COUNTIF($N$3:N139,"兔")=0,10^9,LOOKUP(2,1/($N$3:N139="兔"),ROW($N$3:N139))),IF(COUNTIF($N$3:N139,"龙")=0,10^9,LOOKUP(2,1/($N$3:N139="龙"),ROW($N$3:N139))),IF(COUNTIF($N$3:N139,"蛇")=0,10^9,LOOKUP(2,1/($N$3:N139="蛇"),ROW($N$3:N139))),IF(COUNTIF($N$3:N139,"马")=0,10^9,LOOKUP(2,1/($N$3:N139="马"),ROW($N$3:N139))),IF(COUNTIF($N$3:N139,"羊")=0,10^9,LOOKUP(2,1/($N$3:N139="羊"),ROW($N$3:N139))),IF(COUNTIF($N$3:N139,"猴")=0,10^9,LOOKUP(2,1/($N$3:N139="猴"),ROW($N$3:N139))),IF(COUNTIF($N$3:N139,"鸡")=0,10^9,LOOKUP(2,1/($N$3:N139="鸡"),ROW($N$3:N139))),IF(COUNTIF($N$3:N139,"狗")=0,10^9,LOOKUP(2,1/($N$3:N139="狗"),ROW($N$3:N139))),IF(COUNTIF($N$3:N139,"猪")=0,10^9,LOOKUP(2,1/($N$3:N139="猪"),ROW($N$3:N139))))-ROW($N$3)+1),""))),0,IF(ISNUMBER(J139),J139+1,1)))</f>
        <v/>
      </c>
      <c r="K140" s="5" t="e">
        <f t="shared" si="18"/>
        <v>#N/A</v>
      </c>
      <c r="M140" s="6" t="str">
        <f t="shared" si="14"/>
        <v/>
      </c>
      <c r="N140" s="2" t="e">
        <f t="shared" si="15"/>
        <v>#N/A</v>
      </c>
      <c r="O140" s="7" t="str">
        <f>IF(M140="","",IF(COUNTIF(M141:$M$1000,M140)&gt;0,"",M140))</f>
        <v/>
      </c>
      <c r="P140" s="8" t="e">
        <f>IF(N140="","",IF(COUNTIF(N141:$N$1000,N140)&gt;0,"",N140))</f>
        <v>#N/A</v>
      </c>
      <c r="Q140" s="21" t="e">
        <f t="shared" si="16"/>
        <v>#NUM!</v>
      </c>
      <c r="R140" s="22" t="e">
        <f t="shared" si="17"/>
        <v>#NUM!</v>
      </c>
      <c r="X140" s="2"/>
      <c r="Y140" s="2"/>
    </row>
    <row r="141" s="1" customFormat="1" spans="1:25">
      <c r="A141" s="2">
        <v>115056776</v>
      </c>
      <c r="B141" s="2"/>
      <c r="C141" s="2"/>
      <c r="D141" s="2"/>
      <c r="E141" s="2"/>
      <c r="F141" s="2"/>
      <c r="G141" s="2"/>
      <c r="H141" s="3"/>
      <c r="I141" s="2" t="e">
        <f t="shared" si="13"/>
        <v>#N/A</v>
      </c>
      <c r="J141" s="4" t="str">
        <f>IF(H141="","",IF(OR(AND(M141&lt;&gt;"",M141=IFERROR(INDEX($M$3:M140,MIN(IF(COUNTIF($M$3:M140,"0")=0,10^9,LOOKUP(2,1/($M$3:M140="0"),ROW($M$3:M140))),IF(COUNTIF($M$3:M140,"1")=0,10^9,LOOKUP(2,1/($M$3:M140="1"),ROW($M$3:M140))),IF(COUNTIF($M$3:M140,"2")=0,10^9,LOOKUP(2,1/($M$3:M140="2"),ROW($M$3:M140))),IF(COUNTIF($M$3:M140,"3")=0,10^9,LOOKUP(2,1/($M$3:M140="3"),ROW($M$3:M140))),IF(COUNTIF($M$3:M140,"4")=0,10^9,LOOKUP(2,1/($M$3:M140="4"),ROW($M$3:M140))),IF(COUNTIF($M$3:M140,"5")=0,10^9,LOOKUP(2,1/($M$3:M140="5"),ROW($M$3:M140))),IF(COUNTIF($M$3:M140,"6")=0,10^9,LOOKUP(2,1/($M$3:M140="6"),ROW($M$3:M140))),IF(COUNTIF($M$3:M140,"7")=0,10^9,LOOKUP(2,1/($M$3:M140="7"),ROW($M$3:M140))),IF(COUNTIF($M$3:M140,"8")=0,10^9,LOOKUP(2,1/($M$3:M140="8"),ROW($M$3:M140))),IF(COUNTIF($M$3:M140,"9")=0,10^9,LOOKUP(2,1/($M$3:M140="9"),ROW($M$3:M140))))-ROW($M$3)+1),"")),AND(N141&lt;&gt;"",N141=IFERROR(INDEX($N$3:N140,MIN(IF(COUNTIF($N$3:N140,"鼠")=0,10^9,LOOKUP(2,1/($N$3:N140="鼠"),ROW($N$3:N140))),IF(COUNTIF($N$3:N140,"牛")=0,10^9,LOOKUP(2,1/($N$3:N140="牛"),ROW($N$3:N140))),IF(COUNTIF($N$3:N140,"虎")=0,10^9,LOOKUP(2,1/($N$3:N140="虎"),ROW($N$3:N140))),IF(COUNTIF($N$3:N140,"兔")=0,10^9,LOOKUP(2,1/($N$3:N140="兔"),ROW($N$3:N140))),IF(COUNTIF($N$3:N140,"龙")=0,10^9,LOOKUP(2,1/($N$3:N140="龙"),ROW($N$3:N140))),IF(COUNTIF($N$3:N140,"蛇")=0,10^9,LOOKUP(2,1/($N$3:N140="蛇"),ROW($N$3:N140))),IF(COUNTIF($N$3:N140,"马")=0,10^9,LOOKUP(2,1/($N$3:N140="马"),ROW($N$3:N140))),IF(COUNTIF($N$3:N140,"羊")=0,10^9,LOOKUP(2,1/($N$3:N140="羊"),ROW($N$3:N140))),IF(COUNTIF($N$3:N140,"猴")=0,10^9,LOOKUP(2,1/($N$3:N140="猴"),ROW($N$3:N140))),IF(COUNTIF($N$3:N140,"鸡")=0,10^9,LOOKUP(2,1/($N$3:N140="鸡"),ROW($N$3:N140))),IF(COUNTIF($N$3:N140,"狗")=0,10^9,LOOKUP(2,1/($N$3:N140="狗"),ROW($N$3:N140))),IF(COUNTIF($N$3:N140,"猪")=0,10^9,LOOKUP(2,1/($N$3:N140="猪"),ROW($N$3:N140))))-ROW($N$3)+1),""))),0,IF(ISNUMBER(J140),J140+1,1)))</f>
        <v/>
      </c>
      <c r="K141" s="5" t="e">
        <f t="shared" si="18"/>
        <v>#N/A</v>
      </c>
      <c r="M141" s="6" t="str">
        <f t="shared" si="14"/>
        <v/>
      </c>
      <c r="N141" s="2" t="e">
        <f t="shared" si="15"/>
        <v>#N/A</v>
      </c>
      <c r="O141" s="7" t="str">
        <f>IF(M141="","",IF(COUNTIF(M142:$M$1000,M141)&gt;0,"",M141))</f>
        <v/>
      </c>
      <c r="P141" s="8" t="e">
        <f>IF(N141="","",IF(COUNTIF(N142:$N$1000,N141)&gt;0,"",N141))</f>
        <v>#N/A</v>
      </c>
      <c r="Q141" s="21" t="e">
        <f t="shared" si="16"/>
        <v>#NUM!</v>
      </c>
      <c r="R141" s="22" t="e">
        <f t="shared" si="17"/>
        <v>#NUM!</v>
      </c>
      <c r="X141" s="2"/>
      <c r="Y141" s="2"/>
    </row>
    <row r="142" s="1" customFormat="1" spans="1:25">
      <c r="A142" s="2">
        <v>115056777</v>
      </c>
      <c r="B142" s="2"/>
      <c r="C142" s="2"/>
      <c r="D142" s="2"/>
      <c r="E142" s="2"/>
      <c r="F142" s="2"/>
      <c r="G142" s="2"/>
      <c r="H142" s="3"/>
      <c r="I142" s="2" t="e">
        <f t="shared" si="13"/>
        <v>#N/A</v>
      </c>
      <c r="J142" s="4" t="str">
        <f>IF(H142="","",IF(OR(AND(M142&lt;&gt;"",M142=IFERROR(INDEX($M$3:M141,MIN(IF(COUNTIF($M$3:M141,"0")=0,10^9,LOOKUP(2,1/($M$3:M141="0"),ROW($M$3:M141))),IF(COUNTIF($M$3:M141,"1")=0,10^9,LOOKUP(2,1/($M$3:M141="1"),ROW($M$3:M141))),IF(COUNTIF($M$3:M141,"2")=0,10^9,LOOKUP(2,1/($M$3:M141="2"),ROW($M$3:M141))),IF(COUNTIF($M$3:M141,"3")=0,10^9,LOOKUP(2,1/($M$3:M141="3"),ROW($M$3:M141))),IF(COUNTIF($M$3:M141,"4")=0,10^9,LOOKUP(2,1/($M$3:M141="4"),ROW($M$3:M141))),IF(COUNTIF($M$3:M141,"5")=0,10^9,LOOKUP(2,1/($M$3:M141="5"),ROW($M$3:M141))),IF(COUNTIF($M$3:M141,"6")=0,10^9,LOOKUP(2,1/($M$3:M141="6"),ROW($M$3:M141))),IF(COUNTIF($M$3:M141,"7")=0,10^9,LOOKUP(2,1/($M$3:M141="7"),ROW($M$3:M141))),IF(COUNTIF($M$3:M141,"8")=0,10^9,LOOKUP(2,1/($M$3:M141="8"),ROW($M$3:M141))),IF(COUNTIF($M$3:M141,"9")=0,10^9,LOOKUP(2,1/($M$3:M141="9"),ROW($M$3:M141))))-ROW($M$3)+1),"")),AND(N142&lt;&gt;"",N142=IFERROR(INDEX($N$3:N141,MIN(IF(COUNTIF($N$3:N141,"鼠")=0,10^9,LOOKUP(2,1/($N$3:N141="鼠"),ROW($N$3:N141))),IF(COUNTIF($N$3:N141,"牛")=0,10^9,LOOKUP(2,1/($N$3:N141="牛"),ROW($N$3:N141))),IF(COUNTIF($N$3:N141,"虎")=0,10^9,LOOKUP(2,1/($N$3:N141="虎"),ROW($N$3:N141))),IF(COUNTIF($N$3:N141,"兔")=0,10^9,LOOKUP(2,1/($N$3:N141="兔"),ROW($N$3:N141))),IF(COUNTIF($N$3:N141,"龙")=0,10^9,LOOKUP(2,1/($N$3:N141="龙"),ROW($N$3:N141))),IF(COUNTIF($N$3:N141,"蛇")=0,10^9,LOOKUP(2,1/($N$3:N141="蛇"),ROW($N$3:N141))),IF(COUNTIF($N$3:N141,"马")=0,10^9,LOOKUP(2,1/($N$3:N141="马"),ROW($N$3:N141))),IF(COUNTIF($N$3:N141,"羊")=0,10^9,LOOKUP(2,1/($N$3:N141="羊"),ROW($N$3:N141))),IF(COUNTIF($N$3:N141,"猴")=0,10^9,LOOKUP(2,1/($N$3:N141="猴"),ROW($N$3:N141))),IF(COUNTIF($N$3:N141,"鸡")=0,10^9,LOOKUP(2,1/($N$3:N141="鸡"),ROW($N$3:N141))),IF(COUNTIF($N$3:N141,"狗")=0,10^9,LOOKUP(2,1/($N$3:N141="狗"),ROW($N$3:N141))),IF(COUNTIF($N$3:N141,"猪")=0,10^9,LOOKUP(2,1/($N$3:N141="猪"),ROW($N$3:N141))))-ROW($N$3)+1),""))),0,IF(ISNUMBER(J141),J141+1,1)))</f>
        <v/>
      </c>
      <c r="K142" s="5" t="e">
        <f t="shared" si="18"/>
        <v>#N/A</v>
      </c>
      <c r="M142" s="6" t="str">
        <f t="shared" si="14"/>
        <v/>
      </c>
      <c r="N142" s="2" t="e">
        <f t="shared" si="15"/>
        <v>#N/A</v>
      </c>
      <c r="O142" s="7" t="str">
        <f>IF(M142="","",IF(COUNTIF(M143:$M$1000,M142)&gt;0,"",M142))</f>
        <v/>
      </c>
      <c r="P142" s="8" t="e">
        <f>IF(N142="","",IF(COUNTIF(N143:$N$1000,N142)&gt;0,"",N142))</f>
        <v>#N/A</v>
      </c>
      <c r="Q142" s="21" t="e">
        <f t="shared" si="16"/>
        <v>#NUM!</v>
      </c>
      <c r="R142" s="22" t="e">
        <f t="shared" si="17"/>
        <v>#NUM!</v>
      </c>
      <c r="X142" s="2"/>
      <c r="Y142" s="2"/>
    </row>
    <row r="143" s="1" customFormat="1" spans="1:25">
      <c r="A143" s="2">
        <v>115056778</v>
      </c>
      <c r="B143" s="2"/>
      <c r="C143" s="2"/>
      <c r="D143" s="2"/>
      <c r="E143" s="2"/>
      <c r="F143" s="2"/>
      <c r="G143" s="2"/>
      <c r="H143" s="3"/>
      <c r="I143" s="2" t="e">
        <f t="shared" si="13"/>
        <v>#N/A</v>
      </c>
      <c r="J143" s="4" t="str">
        <f>IF(H143="","",IF(OR(AND(M143&lt;&gt;"",M143=IFERROR(INDEX($M$3:M142,MIN(IF(COUNTIF($M$3:M142,"0")=0,10^9,LOOKUP(2,1/($M$3:M142="0"),ROW($M$3:M142))),IF(COUNTIF($M$3:M142,"1")=0,10^9,LOOKUP(2,1/($M$3:M142="1"),ROW($M$3:M142))),IF(COUNTIF($M$3:M142,"2")=0,10^9,LOOKUP(2,1/($M$3:M142="2"),ROW($M$3:M142))),IF(COUNTIF($M$3:M142,"3")=0,10^9,LOOKUP(2,1/($M$3:M142="3"),ROW($M$3:M142))),IF(COUNTIF($M$3:M142,"4")=0,10^9,LOOKUP(2,1/($M$3:M142="4"),ROW($M$3:M142))),IF(COUNTIF($M$3:M142,"5")=0,10^9,LOOKUP(2,1/($M$3:M142="5"),ROW($M$3:M142))),IF(COUNTIF($M$3:M142,"6")=0,10^9,LOOKUP(2,1/($M$3:M142="6"),ROW($M$3:M142))),IF(COUNTIF($M$3:M142,"7")=0,10^9,LOOKUP(2,1/($M$3:M142="7"),ROW($M$3:M142))),IF(COUNTIF($M$3:M142,"8")=0,10^9,LOOKUP(2,1/($M$3:M142="8"),ROW($M$3:M142))),IF(COUNTIF($M$3:M142,"9")=0,10^9,LOOKUP(2,1/($M$3:M142="9"),ROW($M$3:M142))))-ROW($M$3)+1),"")),AND(N143&lt;&gt;"",N143=IFERROR(INDEX($N$3:N142,MIN(IF(COUNTIF($N$3:N142,"鼠")=0,10^9,LOOKUP(2,1/($N$3:N142="鼠"),ROW($N$3:N142))),IF(COUNTIF($N$3:N142,"牛")=0,10^9,LOOKUP(2,1/($N$3:N142="牛"),ROW($N$3:N142))),IF(COUNTIF($N$3:N142,"虎")=0,10^9,LOOKUP(2,1/($N$3:N142="虎"),ROW($N$3:N142))),IF(COUNTIF($N$3:N142,"兔")=0,10^9,LOOKUP(2,1/($N$3:N142="兔"),ROW($N$3:N142))),IF(COUNTIF($N$3:N142,"龙")=0,10^9,LOOKUP(2,1/($N$3:N142="龙"),ROW($N$3:N142))),IF(COUNTIF($N$3:N142,"蛇")=0,10^9,LOOKUP(2,1/($N$3:N142="蛇"),ROW($N$3:N142))),IF(COUNTIF($N$3:N142,"马")=0,10^9,LOOKUP(2,1/($N$3:N142="马"),ROW($N$3:N142))),IF(COUNTIF($N$3:N142,"羊")=0,10^9,LOOKUP(2,1/($N$3:N142="羊"),ROW($N$3:N142))),IF(COUNTIF($N$3:N142,"猴")=0,10^9,LOOKUP(2,1/($N$3:N142="猴"),ROW($N$3:N142))),IF(COUNTIF($N$3:N142,"鸡")=0,10^9,LOOKUP(2,1/($N$3:N142="鸡"),ROW($N$3:N142))),IF(COUNTIF($N$3:N142,"狗")=0,10^9,LOOKUP(2,1/($N$3:N142="狗"),ROW($N$3:N142))),IF(COUNTIF($N$3:N142,"猪")=0,10^9,LOOKUP(2,1/($N$3:N142="猪"),ROW($N$3:N142))))-ROW($N$3)+1),""))),0,IF(ISNUMBER(J142),J142+1,1)))</f>
        <v/>
      </c>
      <c r="K143" s="5" t="e">
        <f t="shared" si="18"/>
        <v>#N/A</v>
      </c>
      <c r="M143" s="6" t="str">
        <f t="shared" si="14"/>
        <v/>
      </c>
      <c r="N143" s="2" t="e">
        <f t="shared" si="15"/>
        <v>#N/A</v>
      </c>
      <c r="O143" s="7" t="str">
        <f>IF(M143="","",IF(COUNTIF(M144:$M$1000,M143)&gt;0,"",M143))</f>
        <v/>
      </c>
      <c r="P143" s="8" t="e">
        <f>IF(N143="","",IF(COUNTIF(N144:$N$1000,N143)&gt;0,"",N143))</f>
        <v>#N/A</v>
      </c>
      <c r="Q143" s="21" t="e">
        <f t="shared" si="16"/>
        <v>#NUM!</v>
      </c>
      <c r="R143" s="22" t="e">
        <f t="shared" si="17"/>
        <v>#NUM!</v>
      </c>
      <c r="X143" s="2"/>
      <c r="Y143" s="2"/>
    </row>
    <row r="144" s="1" customFormat="1" spans="1:25">
      <c r="A144" s="2">
        <v>115056779</v>
      </c>
      <c r="B144" s="2"/>
      <c r="C144" s="2"/>
      <c r="D144" s="2"/>
      <c r="E144" s="2"/>
      <c r="F144" s="2"/>
      <c r="G144" s="2"/>
      <c r="H144" s="3"/>
      <c r="I144" s="2" t="e">
        <f t="shared" si="13"/>
        <v>#N/A</v>
      </c>
      <c r="J144" s="4" t="str">
        <f>IF(H144="","",IF(OR(AND(M144&lt;&gt;"",M144=IFERROR(INDEX($M$3:M143,MIN(IF(COUNTIF($M$3:M143,"0")=0,10^9,LOOKUP(2,1/($M$3:M143="0"),ROW($M$3:M143))),IF(COUNTIF($M$3:M143,"1")=0,10^9,LOOKUP(2,1/($M$3:M143="1"),ROW($M$3:M143))),IF(COUNTIF($M$3:M143,"2")=0,10^9,LOOKUP(2,1/($M$3:M143="2"),ROW($M$3:M143))),IF(COUNTIF($M$3:M143,"3")=0,10^9,LOOKUP(2,1/($M$3:M143="3"),ROW($M$3:M143))),IF(COUNTIF($M$3:M143,"4")=0,10^9,LOOKUP(2,1/($M$3:M143="4"),ROW($M$3:M143))),IF(COUNTIF($M$3:M143,"5")=0,10^9,LOOKUP(2,1/($M$3:M143="5"),ROW($M$3:M143))),IF(COUNTIF($M$3:M143,"6")=0,10^9,LOOKUP(2,1/($M$3:M143="6"),ROW($M$3:M143))),IF(COUNTIF($M$3:M143,"7")=0,10^9,LOOKUP(2,1/($M$3:M143="7"),ROW($M$3:M143))),IF(COUNTIF($M$3:M143,"8")=0,10^9,LOOKUP(2,1/($M$3:M143="8"),ROW($M$3:M143))),IF(COUNTIF($M$3:M143,"9")=0,10^9,LOOKUP(2,1/($M$3:M143="9"),ROW($M$3:M143))))-ROW($M$3)+1),"")),AND(N144&lt;&gt;"",N144=IFERROR(INDEX($N$3:N143,MIN(IF(COUNTIF($N$3:N143,"鼠")=0,10^9,LOOKUP(2,1/($N$3:N143="鼠"),ROW($N$3:N143))),IF(COUNTIF($N$3:N143,"牛")=0,10^9,LOOKUP(2,1/($N$3:N143="牛"),ROW($N$3:N143))),IF(COUNTIF($N$3:N143,"虎")=0,10^9,LOOKUP(2,1/($N$3:N143="虎"),ROW($N$3:N143))),IF(COUNTIF($N$3:N143,"兔")=0,10^9,LOOKUP(2,1/($N$3:N143="兔"),ROW($N$3:N143))),IF(COUNTIF($N$3:N143,"龙")=0,10^9,LOOKUP(2,1/($N$3:N143="龙"),ROW($N$3:N143))),IF(COUNTIF($N$3:N143,"蛇")=0,10^9,LOOKUP(2,1/($N$3:N143="蛇"),ROW($N$3:N143))),IF(COUNTIF($N$3:N143,"马")=0,10^9,LOOKUP(2,1/($N$3:N143="马"),ROW($N$3:N143))),IF(COUNTIF($N$3:N143,"羊")=0,10^9,LOOKUP(2,1/($N$3:N143="羊"),ROW($N$3:N143))),IF(COUNTIF($N$3:N143,"猴")=0,10^9,LOOKUP(2,1/($N$3:N143="猴"),ROW($N$3:N143))),IF(COUNTIF($N$3:N143,"鸡")=0,10^9,LOOKUP(2,1/($N$3:N143="鸡"),ROW($N$3:N143))),IF(COUNTIF($N$3:N143,"狗")=0,10^9,LOOKUP(2,1/($N$3:N143="狗"),ROW($N$3:N143))),IF(COUNTIF($N$3:N143,"猪")=0,10^9,LOOKUP(2,1/($N$3:N143="猪"),ROW($N$3:N143))))-ROW($N$3)+1),""))),0,IF(ISNUMBER(J143),J143+1,1)))</f>
        <v/>
      </c>
      <c r="K144" s="5" t="e">
        <f t="shared" si="18"/>
        <v>#N/A</v>
      </c>
      <c r="M144" s="6" t="str">
        <f t="shared" si="14"/>
        <v/>
      </c>
      <c r="N144" s="2" t="e">
        <f t="shared" si="15"/>
        <v>#N/A</v>
      </c>
      <c r="O144" s="7" t="str">
        <f>IF(M144="","",IF(COUNTIF(M145:$M$1000,M144)&gt;0,"",M144))</f>
        <v/>
      </c>
      <c r="P144" s="8" t="e">
        <f>IF(N144="","",IF(COUNTIF(N145:$N$1000,N144)&gt;0,"",N144))</f>
        <v>#N/A</v>
      </c>
      <c r="Q144" s="21" t="e">
        <f t="shared" si="16"/>
        <v>#NUM!</v>
      </c>
      <c r="R144" s="22" t="e">
        <f t="shared" si="17"/>
        <v>#NUM!</v>
      </c>
      <c r="X144" s="2"/>
      <c r="Y144" s="2"/>
    </row>
    <row r="145" s="1" customFormat="1" spans="1:25">
      <c r="A145" s="2">
        <v>115056780</v>
      </c>
      <c r="B145" s="2"/>
      <c r="C145" s="2"/>
      <c r="D145" s="2"/>
      <c r="E145" s="2"/>
      <c r="F145" s="2"/>
      <c r="G145" s="2"/>
      <c r="H145" s="3"/>
      <c r="I145" s="2" t="e">
        <f t="shared" si="13"/>
        <v>#N/A</v>
      </c>
      <c r="J145" s="4" t="str">
        <f>IF(H145="","",IF(OR(AND(M145&lt;&gt;"",M145=IFERROR(INDEX($M$3:M144,MIN(IF(COUNTIF($M$3:M144,"0")=0,10^9,LOOKUP(2,1/($M$3:M144="0"),ROW($M$3:M144))),IF(COUNTIF($M$3:M144,"1")=0,10^9,LOOKUP(2,1/($M$3:M144="1"),ROW($M$3:M144))),IF(COUNTIF($M$3:M144,"2")=0,10^9,LOOKUP(2,1/($M$3:M144="2"),ROW($M$3:M144))),IF(COUNTIF($M$3:M144,"3")=0,10^9,LOOKUP(2,1/($M$3:M144="3"),ROW($M$3:M144))),IF(COUNTIF($M$3:M144,"4")=0,10^9,LOOKUP(2,1/($M$3:M144="4"),ROW($M$3:M144))),IF(COUNTIF($M$3:M144,"5")=0,10^9,LOOKUP(2,1/($M$3:M144="5"),ROW($M$3:M144))),IF(COUNTIF($M$3:M144,"6")=0,10^9,LOOKUP(2,1/($M$3:M144="6"),ROW($M$3:M144))),IF(COUNTIF($M$3:M144,"7")=0,10^9,LOOKUP(2,1/($M$3:M144="7"),ROW($M$3:M144))),IF(COUNTIF($M$3:M144,"8")=0,10^9,LOOKUP(2,1/($M$3:M144="8"),ROW($M$3:M144))),IF(COUNTIF($M$3:M144,"9")=0,10^9,LOOKUP(2,1/($M$3:M144="9"),ROW($M$3:M144))))-ROW($M$3)+1),"")),AND(N145&lt;&gt;"",N145=IFERROR(INDEX($N$3:N144,MIN(IF(COUNTIF($N$3:N144,"鼠")=0,10^9,LOOKUP(2,1/($N$3:N144="鼠"),ROW($N$3:N144))),IF(COUNTIF($N$3:N144,"牛")=0,10^9,LOOKUP(2,1/($N$3:N144="牛"),ROW($N$3:N144))),IF(COUNTIF($N$3:N144,"虎")=0,10^9,LOOKUP(2,1/($N$3:N144="虎"),ROW($N$3:N144))),IF(COUNTIF($N$3:N144,"兔")=0,10^9,LOOKUP(2,1/($N$3:N144="兔"),ROW($N$3:N144))),IF(COUNTIF($N$3:N144,"龙")=0,10^9,LOOKUP(2,1/($N$3:N144="龙"),ROW($N$3:N144))),IF(COUNTIF($N$3:N144,"蛇")=0,10^9,LOOKUP(2,1/($N$3:N144="蛇"),ROW($N$3:N144))),IF(COUNTIF($N$3:N144,"马")=0,10^9,LOOKUP(2,1/($N$3:N144="马"),ROW($N$3:N144))),IF(COUNTIF($N$3:N144,"羊")=0,10^9,LOOKUP(2,1/($N$3:N144="羊"),ROW($N$3:N144))),IF(COUNTIF($N$3:N144,"猴")=0,10^9,LOOKUP(2,1/($N$3:N144="猴"),ROW($N$3:N144))),IF(COUNTIF($N$3:N144,"鸡")=0,10^9,LOOKUP(2,1/($N$3:N144="鸡"),ROW($N$3:N144))),IF(COUNTIF($N$3:N144,"狗")=0,10^9,LOOKUP(2,1/($N$3:N144="狗"),ROW($N$3:N144))),IF(COUNTIF($N$3:N144,"猪")=0,10^9,LOOKUP(2,1/($N$3:N144="猪"),ROW($N$3:N144))))-ROW($N$3)+1),""))),0,IF(ISNUMBER(J144),J144+1,1)))</f>
        <v/>
      </c>
      <c r="K145" s="5" t="e">
        <f t="shared" si="18"/>
        <v>#N/A</v>
      </c>
      <c r="M145" s="6" t="str">
        <f t="shared" si="14"/>
        <v/>
      </c>
      <c r="N145" s="2" t="e">
        <f t="shared" si="15"/>
        <v>#N/A</v>
      </c>
      <c r="O145" s="7" t="str">
        <f>IF(M145="","",IF(COUNTIF(M146:$M$1000,M145)&gt;0,"",M145))</f>
        <v/>
      </c>
      <c r="P145" s="8" t="e">
        <f>IF(N145="","",IF(COUNTIF(N146:$N$1000,N145)&gt;0,"",N145))</f>
        <v>#N/A</v>
      </c>
      <c r="Q145" s="21" t="e">
        <f t="shared" si="16"/>
        <v>#NUM!</v>
      </c>
      <c r="R145" s="22" t="e">
        <f t="shared" si="17"/>
        <v>#NUM!</v>
      </c>
      <c r="X145" s="2"/>
      <c r="Y145" s="2"/>
    </row>
    <row r="146" s="1" customFormat="1" spans="1:25">
      <c r="A146" s="2">
        <v>115056781</v>
      </c>
      <c r="B146" s="2"/>
      <c r="C146" s="2"/>
      <c r="D146" s="2"/>
      <c r="E146" s="2"/>
      <c r="F146" s="2"/>
      <c r="G146" s="2"/>
      <c r="H146" s="3"/>
      <c r="I146" s="2" t="e">
        <f t="shared" si="13"/>
        <v>#N/A</v>
      </c>
      <c r="J146" s="4" t="str">
        <f>IF(H146="","",IF(OR(AND(M146&lt;&gt;"",M146=IFERROR(INDEX($M$3:M145,MIN(IF(COUNTIF($M$3:M145,"0")=0,10^9,LOOKUP(2,1/($M$3:M145="0"),ROW($M$3:M145))),IF(COUNTIF($M$3:M145,"1")=0,10^9,LOOKUP(2,1/($M$3:M145="1"),ROW($M$3:M145))),IF(COUNTIF($M$3:M145,"2")=0,10^9,LOOKUP(2,1/($M$3:M145="2"),ROW($M$3:M145))),IF(COUNTIF($M$3:M145,"3")=0,10^9,LOOKUP(2,1/($M$3:M145="3"),ROW($M$3:M145))),IF(COUNTIF($M$3:M145,"4")=0,10^9,LOOKUP(2,1/($M$3:M145="4"),ROW($M$3:M145))),IF(COUNTIF($M$3:M145,"5")=0,10^9,LOOKUP(2,1/($M$3:M145="5"),ROW($M$3:M145))),IF(COUNTIF($M$3:M145,"6")=0,10^9,LOOKUP(2,1/($M$3:M145="6"),ROW($M$3:M145))),IF(COUNTIF($M$3:M145,"7")=0,10^9,LOOKUP(2,1/($M$3:M145="7"),ROW($M$3:M145))),IF(COUNTIF($M$3:M145,"8")=0,10^9,LOOKUP(2,1/($M$3:M145="8"),ROW($M$3:M145))),IF(COUNTIF($M$3:M145,"9")=0,10^9,LOOKUP(2,1/($M$3:M145="9"),ROW($M$3:M145))))-ROW($M$3)+1),"")),AND(N146&lt;&gt;"",N146=IFERROR(INDEX($N$3:N145,MIN(IF(COUNTIF($N$3:N145,"鼠")=0,10^9,LOOKUP(2,1/($N$3:N145="鼠"),ROW($N$3:N145))),IF(COUNTIF($N$3:N145,"牛")=0,10^9,LOOKUP(2,1/($N$3:N145="牛"),ROW($N$3:N145))),IF(COUNTIF($N$3:N145,"虎")=0,10^9,LOOKUP(2,1/($N$3:N145="虎"),ROW($N$3:N145))),IF(COUNTIF($N$3:N145,"兔")=0,10^9,LOOKUP(2,1/($N$3:N145="兔"),ROW($N$3:N145))),IF(COUNTIF($N$3:N145,"龙")=0,10^9,LOOKUP(2,1/($N$3:N145="龙"),ROW($N$3:N145))),IF(COUNTIF($N$3:N145,"蛇")=0,10^9,LOOKUP(2,1/($N$3:N145="蛇"),ROW($N$3:N145))),IF(COUNTIF($N$3:N145,"马")=0,10^9,LOOKUP(2,1/($N$3:N145="马"),ROW($N$3:N145))),IF(COUNTIF($N$3:N145,"羊")=0,10^9,LOOKUP(2,1/($N$3:N145="羊"),ROW($N$3:N145))),IF(COUNTIF($N$3:N145,"猴")=0,10^9,LOOKUP(2,1/($N$3:N145="猴"),ROW($N$3:N145))),IF(COUNTIF($N$3:N145,"鸡")=0,10^9,LOOKUP(2,1/($N$3:N145="鸡"),ROW($N$3:N145))),IF(COUNTIF($N$3:N145,"狗")=0,10^9,LOOKUP(2,1/($N$3:N145="狗"),ROW($N$3:N145))),IF(COUNTIF($N$3:N145,"猪")=0,10^9,LOOKUP(2,1/($N$3:N145="猪"),ROW($N$3:N145))))-ROW($N$3)+1),""))),0,IF(ISNUMBER(J145),J145+1,1)))</f>
        <v/>
      </c>
      <c r="K146" s="5" t="e">
        <f t="shared" si="18"/>
        <v>#N/A</v>
      </c>
      <c r="M146" s="6" t="str">
        <f t="shared" si="14"/>
        <v/>
      </c>
      <c r="N146" s="2" t="e">
        <f t="shared" si="15"/>
        <v>#N/A</v>
      </c>
      <c r="O146" s="7" t="str">
        <f>IF(M146="","",IF(COUNTIF(M147:$M$1000,M146)&gt;0,"",M146))</f>
        <v/>
      </c>
      <c r="P146" s="8" t="e">
        <f>IF(N146="","",IF(COUNTIF(N147:$N$1000,N146)&gt;0,"",N146))</f>
        <v>#N/A</v>
      </c>
      <c r="Q146" s="21" t="e">
        <f t="shared" si="16"/>
        <v>#NUM!</v>
      </c>
      <c r="R146" s="22" t="e">
        <f t="shared" si="17"/>
        <v>#NUM!</v>
      </c>
      <c r="X146" s="2"/>
      <c r="Y146" s="2"/>
    </row>
    <row r="147" s="1" customFormat="1" spans="1:25">
      <c r="A147" s="2">
        <v>115056782</v>
      </c>
      <c r="B147" s="2"/>
      <c r="C147" s="2"/>
      <c r="D147" s="2"/>
      <c r="E147" s="2"/>
      <c r="F147" s="2"/>
      <c r="G147" s="2"/>
      <c r="H147" s="3"/>
      <c r="I147" s="2" t="e">
        <f t="shared" si="13"/>
        <v>#N/A</v>
      </c>
      <c r="J147" s="4" t="str">
        <f>IF(H147="","",IF(OR(AND(M147&lt;&gt;"",M147=IFERROR(INDEX($M$3:M146,MIN(IF(COUNTIF($M$3:M146,"0")=0,10^9,LOOKUP(2,1/($M$3:M146="0"),ROW($M$3:M146))),IF(COUNTIF($M$3:M146,"1")=0,10^9,LOOKUP(2,1/($M$3:M146="1"),ROW($M$3:M146))),IF(COUNTIF($M$3:M146,"2")=0,10^9,LOOKUP(2,1/($M$3:M146="2"),ROW($M$3:M146))),IF(COUNTIF($M$3:M146,"3")=0,10^9,LOOKUP(2,1/($M$3:M146="3"),ROW($M$3:M146))),IF(COUNTIF($M$3:M146,"4")=0,10^9,LOOKUP(2,1/($M$3:M146="4"),ROW($M$3:M146))),IF(COUNTIF($M$3:M146,"5")=0,10^9,LOOKUP(2,1/($M$3:M146="5"),ROW($M$3:M146))),IF(COUNTIF($M$3:M146,"6")=0,10^9,LOOKUP(2,1/($M$3:M146="6"),ROW($M$3:M146))),IF(COUNTIF($M$3:M146,"7")=0,10^9,LOOKUP(2,1/($M$3:M146="7"),ROW($M$3:M146))),IF(COUNTIF($M$3:M146,"8")=0,10^9,LOOKUP(2,1/($M$3:M146="8"),ROW($M$3:M146))),IF(COUNTIF($M$3:M146,"9")=0,10^9,LOOKUP(2,1/($M$3:M146="9"),ROW($M$3:M146))))-ROW($M$3)+1),"")),AND(N147&lt;&gt;"",N147=IFERROR(INDEX($N$3:N146,MIN(IF(COUNTIF($N$3:N146,"鼠")=0,10^9,LOOKUP(2,1/($N$3:N146="鼠"),ROW($N$3:N146))),IF(COUNTIF($N$3:N146,"牛")=0,10^9,LOOKUP(2,1/($N$3:N146="牛"),ROW($N$3:N146))),IF(COUNTIF($N$3:N146,"虎")=0,10^9,LOOKUP(2,1/($N$3:N146="虎"),ROW($N$3:N146))),IF(COUNTIF($N$3:N146,"兔")=0,10^9,LOOKUP(2,1/($N$3:N146="兔"),ROW($N$3:N146))),IF(COUNTIF($N$3:N146,"龙")=0,10^9,LOOKUP(2,1/($N$3:N146="龙"),ROW($N$3:N146))),IF(COUNTIF($N$3:N146,"蛇")=0,10^9,LOOKUP(2,1/($N$3:N146="蛇"),ROW($N$3:N146))),IF(COUNTIF($N$3:N146,"马")=0,10^9,LOOKUP(2,1/($N$3:N146="马"),ROW($N$3:N146))),IF(COUNTIF($N$3:N146,"羊")=0,10^9,LOOKUP(2,1/($N$3:N146="羊"),ROW($N$3:N146))),IF(COUNTIF($N$3:N146,"猴")=0,10^9,LOOKUP(2,1/($N$3:N146="猴"),ROW($N$3:N146))),IF(COUNTIF($N$3:N146,"鸡")=0,10^9,LOOKUP(2,1/($N$3:N146="鸡"),ROW($N$3:N146))),IF(COUNTIF($N$3:N146,"狗")=0,10^9,LOOKUP(2,1/($N$3:N146="狗"),ROW($N$3:N146))),IF(COUNTIF($N$3:N146,"猪")=0,10^9,LOOKUP(2,1/($N$3:N146="猪"),ROW($N$3:N146))))-ROW($N$3)+1),""))),0,IF(ISNUMBER(J146),J146+1,1)))</f>
        <v/>
      </c>
      <c r="K147" s="5" t="e">
        <f t="shared" si="18"/>
        <v>#N/A</v>
      </c>
      <c r="M147" s="6" t="str">
        <f t="shared" si="14"/>
        <v/>
      </c>
      <c r="N147" s="2" t="e">
        <f t="shared" si="15"/>
        <v>#N/A</v>
      </c>
      <c r="O147" s="7" t="str">
        <f>IF(M147="","",IF(COUNTIF(M148:$M$1000,M147)&gt;0,"",M147))</f>
        <v/>
      </c>
      <c r="P147" s="8" t="e">
        <f>IF(N147="","",IF(COUNTIF(N148:$N$1000,N147)&gt;0,"",N147))</f>
        <v>#N/A</v>
      </c>
      <c r="Q147" s="21" t="e">
        <f t="shared" si="16"/>
        <v>#NUM!</v>
      </c>
      <c r="R147" s="22" t="e">
        <f t="shared" si="17"/>
        <v>#NUM!</v>
      </c>
      <c r="X147" s="2"/>
      <c r="Y147" s="2"/>
    </row>
    <row r="148" s="1" customFormat="1" spans="1:25">
      <c r="A148" s="2">
        <v>115056783</v>
      </c>
      <c r="B148" s="2"/>
      <c r="C148" s="2"/>
      <c r="D148" s="2"/>
      <c r="E148" s="2"/>
      <c r="F148" s="2"/>
      <c r="G148" s="2"/>
      <c r="H148" s="3"/>
      <c r="I148" s="2" t="e">
        <f t="shared" si="13"/>
        <v>#N/A</v>
      </c>
      <c r="J148" s="4" t="str">
        <f>IF(H148="","",IF(OR(AND(M148&lt;&gt;"",M148=IFERROR(INDEX($M$3:M147,MIN(IF(COUNTIF($M$3:M147,"0")=0,10^9,LOOKUP(2,1/($M$3:M147="0"),ROW($M$3:M147))),IF(COUNTIF($M$3:M147,"1")=0,10^9,LOOKUP(2,1/($M$3:M147="1"),ROW($M$3:M147))),IF(COUNTIF($M$3:M147,"2")=0,10^9,LOOKUP(2,1/($M$3:M147="2"),ROW($M$3:M147))),IF(COUNTIF($M$3:M147,"3")=0,10^9,LOOKUP(2,1/($M$3:M147="3"),ROW($M$3:M147))),IF(COUNTIF($M$3:M147,"4")=0,10^9,LOOKUP(2,1/($M$3:M147="4"),ROW($M$3:M147))),IF(COUNTIF($M$3:M147,"5")=0,10^9,LOOKUP(2,1/($M$3:M147="5"),ROW($M$3:M147))),IF(COUNTIF($M$3:M147,"6")=0,10^9,LOOKUP(2,1/($M$3:M147="6"),ROW($M$3:M147))),IF(COUNTIF($M$3:M147,"7")=0,10^9,LOOKUP(2,1/($M$3:M147="7"),ROW($M$3:M147))),IF(COUNTIF($M$3:M147,"8")=0,10^9,LOOKUP(2,1/($M$3:M147="8"),ROW($M$3:M147))),IF(COUNTIF($M$3:M147,"9")=0,10^9,LOOKUP(2,1/($M$3:M147="9"),ROW($M$3:M147))))-ROW($M$3)+1),"")),AND(N148&lt;&gt;"",N148=IFERROR(INDEX($N$3:N147,MIN(IF(COUNTIF($N$3:N147,"鼠")=0,10^9,LOOKUP(2,1/($N$3:N147="鼠"),ROW($N$3:N147))),IF(COUNTIF($N$3:N147,"牛")=0,10^9,LOOKUP(2,1/($N$3:N147="牛"),ROW($N$3:N147))),IF(COUNTIF($N$3:N147,"虎")=0,10^9,LOOKUP(2,1/($N$3:N147="虎"),ROW($N$3:N147))),IF(COUNTIF($N$3:N147,"兔")=0,10^9,LOOKUP(2,1/($N$3:N147="兔"),ROW($N$3:N147))),IF(COUNTIF($N$3:N147,"龙")=0,10^9,LOOKUP(2,1/($N$3:N147="龙"),ROW($N$3:N147))),IF(COUNTIF($N$3:N147,"蛇")=0,10^9,LOOKUP(2,1/($N$3:N147="蛇"),ROW($N$3:N147))),IF(COUNTIF($N$3:N147,"马")=0,10^9,LOOKUP(2,1/($N$3:N147="马"),ROW($N$3:N147))),IF(COUNTIF($N$3:N147,"羊")=0,10^9,LOOKUP(2,1/($N$3:N147="羊"),ROW($N$3:N147))),IF(COUNTIF($N$3:N147,"猴")=0,10^9,LOOKUP(2,1/($N$3:N147="猴"),ROW($N$3:N147))),IF(COUNTIF($N$3:N147,"鸡")=0,10^9,LOOKUP(2,1/($N$3:N147="鸡"),ROW($N$3:N147))),IF(COUNTIF($N$3:N147,"狗")=0,10^9,LOOKUP(2,1/($N$3:N147="狗"),ROW($N$3:N147))),IF(COUNTIF($N$3:N147,"猪")=0,10^9,LOOKUP(2,1/($N$3:N147="猪"),ROW($N$3:N147))))-ROW($N$3)+1),""))),0,IF(ISNUMBER(J147),J147+1,1)))</f>
        <v/>
      </c>
      <c r="K148" s="5" t="e">
        <f t="shared" si="18"/>
        <v>#N/A</v>
      </c>
      <c r="M148" s="6" t="str">
        <f t="shared" si="14"/>
        <v/>
      </c>
      <c r="N148" s="2" t="e">
        <f t="shared" si="15"/>
        <v>#N/A</v>
      </c>
      <c r="O148" s="7" t="str">
        <f>IF(M148="","",IF(COUNTIF(M149:$M$1000,M148)&gt;0,"",M148))</f>
        <v/>
      </c>
      <c r="P148" s="8" t="e">
        <f>IF(N148="","",IF(COUNTIF(N149:$N$1000,N148)&gt;0,"",N148))</f>
        <v>#N/A</v>
      </c>
      <c r="Q148" s="21" t="e">
        <f t="shared" si="16"/>
        <v>#NUM!</v>
      </c>
      <c r="R148" s="22" t="e">
        <f t="shared" si="17"/>
        <v>#NUM!</v>
      </c>
      <c r="X148" s="2"/>
      <c r="Y148" s="2"/>
    </row>
    <row r="149" s="1" customFormat="1" spans="1:25">
      <c r="A149" s="2">
        <v>115056784</v>
      </c>
      <c r="B149" s="2"/>
      <c r="C149" s="2"/>
      <c r="D149" s="2"/>
      <c r="E149" s="2"/>
      <c r="F149" s="2"/>
      <c r="G149" s="2"/>
      <c r="H149" s="3"/>
      <c r="I149" s="2" t="e">
        <f t="shared" si="13"/>
        <v>#N/A</v>
      </c>
      <c r="J149" s="4" t="str">
        <f>IF(H149="","",IF(OR(AND(M149&lt;&gt;"",M149=IFERROR(INDEX($M$3:M148,MIN(IF(COUNTIF($M$3:M148,"0")=0,10^9,LOOKUP(2,1/($M$3:M148="0"),ROW($M$3:M148))),IF(COUNTIF($M$3:M148,"1")=0,10^9,LOOKUP(2,1/($M$3:M148="1"),ROW($M$3:M148))),IF(COUNTIF($M$3:M148,"2")=0,10^9,LOOKUP(2,1/($M$3:M148="2"),ROW($M$3:M148))),IF(COUNTIF($M$3:M148,"3")=0,10^9,LOOKUP(2,1/($M$3:M148="3"),ROW($M$3:M148))),IF(COUNTIF($M$3:M148,"4")=0,10^9,LOOKUP(2,1/($M$3:M148="4"),ROW($M$3:M148))),IF(COUNTIF($M$3:M148,"5")=0,10^9,LOOKUP(2,1/($M$3:M148="5"),ROW($M$3:M148))),IF(COUNTIF($M$3:M148,"6")=0,10^9,LOOKUP(2,1/($M$3:M148="6"),ROW($M$3:M148))),IF(COUNTIF($M$3:M148,"7")=0,10^9,LOOKUP(2,1/($M$3:M148="7"),ROW($M$3:M148))),IF(COUNTIF($M$3:M148,"8")=0,10^9,LOOKUP(2,1/($M$3:M148="8"),ROW($M$3:M148))),IF(COUNTIF($M$3:M148,"9")=0,10^9,LOOKUP(2,1/($M$3:M148="9"),ROW($M$3:M148))))-ROW($M$3)+1),"")),AND(N149&lt;&gt;"",N149=IFERROR(INDEX($N$3:N148,MIN(IF(COUNTIF($N$3:N148,"鼠")=0,10^9,LOOKUP(2,1/($N$3:N148="鼠"),ROW($N$3:N148))),IF(COUNTIF($N$3:N148,"牛")=0,10^9,LOOKUP(2,1/($N$3:N148="牛"),ROW($N$3:N148))),IF(COUNTIF($N$3:N148,"虎")=0,10^9,LOOKUP(2,1/($N$3:N148="虎"),ROW($N$3:N148))),IF(COUNTIF($N$3:N148,"兔")=0,10^9,LOOKUP(2,1/($N$3:N148="兔"),ROW($N$3:N148))),IF(COUNTIF($N$3:N148,"龙")=0,10^9,LOOKUP(2,1/($N$3:N148="龙"),ROW($N$3:N148))),IF(COUNTIF($N$3:N148,"蛇")=0,10^9,LOOKUP(2,1/($N$3:N148="蛇"),ROW($N$3:N148))),IF(COUNTIF($N$3:N148,"马")=0,10^9,LOOKUP(2,1/($N$3:N148="马"),ROW($N$3:N148))),IF(COUNTIF($N$3:N148,"羊")=0,10^9,LOOKUP(2,1/($N$3:N148="羊"),ROW($N$3:N148))),IF(COUNTIF($N$3:N148,"猴")=0,10^9,LOOKUP(2,1/($N$3:N148="猴"),ROW($N$3:N148))),IF(COUNTIF($N$3:N148,"鸡")=0,10^9,LOOKUP(2,1/($N$3:N148="鸡"),ROW($N$3:N148))),IF(COUNTIF($N$3:N148,"狗")=0,10^9,LOOKUP(2,1/($N$3:N148="狗"),ROW($N$3:N148))),IF(COUNTIF($N$3:N148,"猪")=0,10^9,LOOKUP(2,1/($N$3:N148="猪"),ROW($N$3:N148))))-ROW($N$3)+1),""))),0,IF(ISNUMBER(J148),J148+1,1)))</f>
        <v/>
      </c>
      <c r="K149" s="5" t="e">
        <f t="shared" si="18"/>
        <v>#N/A</v>
      </c>
      <c r="M149" s="6" t="str">
        <f t="shared" si="14"/>
        <v/>
      </c>
      <c r="N149" s="2" t="e">
        <f t="shared" si="15"/>
        <v>#N/A</v>
      </c>
      <c r="O149" s="7" t="str">
        <f>IF(M149="","",IF(COUNTIF(M150:$M$1000,M149)&gt;0,"",M149))</f>
        <v/>
      </c>
      <c r="P149" s="8" t="e">
        <f>IF(N149="","",IF(COUNTIF(N150:$N$1000,N149)&gt;0,"",N149))</f>
        <v>#N/A</v>
      </c>
      <c r="Q149" s="21" t="e">
        <f t="shared" si="16"/>
        <v>#NUM!</v>
      </c>
      <c r="R149" s="22" t="e">
        <f t="shared" si="17"/>
        <v>#NUM!</v>
      </c>
      <c r="X149" s="2"/>
      <c r="Y149" s="2"/>
    </row>
    <row r="150" s="1" customFormat="1" spans="1:25">
      <c r="A150" s="2">
        <v>115056785</v>
      </c>
      <c r="B150" s="2"/>
      <c r="C150" s="2"/>
      <c r="D150" s="2"/>
      <c r="E150" s="2"/>
      <c r="F150" s="2"/>
      <c r="G150" s="2"/>
      <c r="H150" s="3"/>
      <c r="I150" s="2" t="e">
        <f t="shared" si="13"/>
        <v>#N/A</v>
      </c>
      <c r="J150" s="4" t="str">
        <f>IF(H150="","",IF(OR(AND(M150&lt;&gt;"",M150=IFERROR(INDEX($M$3:M149,MIN(IF(COUNTIF($M$3:M149,"0")=0,10^9,LOOKUP(2,1/($M$3:M149="0"),ROW($M$3:M149))),IF(COUNTIF($M$3:M149,"1")=0,10^9,LOOKUP(2,1/($M$3:M149="1"),ROW($M$3:M149))),IF(COUNTIF($M$3:M149,"2")=0,10^9,LOOKUP(2,1/($M$3:M149="2"),ROW($M$3:M149))),IF(COUNTIF($M$3:M149,"3")=0,10^9,LOOKUP(2,1/($M$3:M149="3"),ROW($M$3:M149))),IF(COUNTIF($M$3:M149,"4")=0,10^9,LOOKUP(2,1/($M$3:M149="4"),ROW($M$3:M149))),IF(COUNTIF($M$3:M149,"5")=0,10^9,LOOKUP(2,1/($M$3:M149="5"),ROW($M$3:M149))),IF(COUNTIF($M$3:M149,"6")=0,10^9,LOOKUP(2,1/($M$3:M149="6"),ROW($M$3:M149))),IF(COUNTIF($M$3:M149,"7")=0,10^9,LOOKUP(2,1/($M$3:M149="7"),ROW($M$3:M149))),IF(COUNTIF($M$3:M149,"8")=0,10^9,LOOKUP(2,1/($M$3:M149="8"),ROW($M$3:M149))),IF(COUNTIF($M$3:M149,"9")=0,10^9,LOOKUP(2,1/($M$3:M149="9"),ROW($M$3:M149))))-ROW($M$3)+1),"")),AND(N150&lt;&gt;"",N150=IFERROR(INDEX($N$3:N149,MIN(IF(COUNTIF($N$3:N149,"鼠")=0,10^9,LOOKUP(2,1/($N$3:N149="鼠"),ROW($N$3:N149))),IF(COUNTIF($N$3:N149,"牛")=0,10^9,LOOKUP(2,1/($N$3:N149="牛"),ROW($N$3:N149))),IF(COUNTIF($N$3:N149,"虎")=0,10^9,LOOKUP(2,1/($N$3:N149="虎"),ROW($N$3:N149))),IF(COUNTIF($N$3:N149,"兔")=0,10^9,LOOKUP(2,1/($N$3:N149="兔"),ROW($N$3:N149))),IF(COUNTIF($N$3:N149,"龙")=0,10^9,LOOKUP(2,1/($N$3:N149="龙"),ROW($N$3:N149))),IF(COUNTIF($N$3:N149,"蛇")=0,10^9,LOOKUP(2,1/($N$3:N149="蛇"),ROW($N$3:N149))),IF(COUNTIF($N$3:N149,"马")=0,10^9,LOOKUP(2,1/($N$3:N149="马"),ROW($N$3:N149))),IF(COUNTIF($N$3:N149,"羊")=0,10^9,LOOKUP(2,1/($N$3:N149="羊"),ROW($N$3:N149))),IF(COUNTIF($N$3:N149,"猴")=0,10^9,LOOKUP(2,1/($N$3:N149="猴"),ROW($N$3:N149))),IF(COUNTIF($N$3:N149,"鸡")=0,10^9,LOOKUP(2,1/($N$3:N149="鸡"),ROW($N$3:N149))),IF(COUNTIF($N$3:N149,"狗")=0,10^9,LOOKUP(2,1/($N$3:N149="狗"),ROW($N$3:N149))),IF(COUNTIF($N$3:N149,"猪")=0,10^9,LOOKUP(2,1/($N$3:N149="猪"),ROW($N$3:N149))))-ROW($N$3)+1),""))),0,IF(ISNUMBER(J149),J149+1,1)))</f>
        <v/>
      </c>
      <c r="K150" s="5" t="e">
        <f t="shared" si="18"/>
        <v>#N/A</v>
      </c>
      <c r="M150" s="6" t="str">
        <f t="shared" si="14"/>
        <v/>
      </c>
      <c r="N150" s="2" t="e">
        <f t="shared" si="15"/>
        <v>#N/A</v>
      </c>
      <c r="O150" s="7" t="str">
        <f>IF(M150="","",IF(COUNTIF(M151:$M$1000,M150)&gt;0,"",M150))</f>
        <v/>
      </c>
      <c r="P150" s="8" t="e">
        <f>IF(N150="","",IF(COUNTIF(N151:$N$1000,N150)&gt;0,"",N150))</f>
        <v>#N/A</v>
      </c>
      <c r="Q150" s="21" t="e">
        <f t="shared" si="16"/>
        <v>#NUM!</v>
      </c>
      <c r="R150" s="22" t="e">
        <f t="shared" si="17"/>
        <v>#NUM!</v>
      </c>
      <c r="X150" s="2"/>
      <c r="Y150" s="2"/>
    </row>
    <row r="151" s="1" customFormat="1" spans="1:25">
      <c r="A151" s="2">
        <v>115056786</v>
      </c>
      <c r="B151" s="2"/>
      <c r="C151" s="2"/>
      <c r="D151" s="2"/>
      <c r="E151" s="2"/>
      <c r="F151" s="2"/>
      <c r="G151" s="2"/>
      <c r="H151" s="3"/>
      <c r="I151" s="2" t="e">
        <f t="shared" si="13"/>
        <v>#N/A</v>
      </c>
      <c r="J151" s="4" t="str">
        <f>IF(H151="","",IF(OR(AND(M151&lt;&gt;"",M151=IFERROR(INDEX($M$3:M150,MIN(IF(COUNTIF($M$3:M150,"0")=0,10^9,LOOKUP(2,1/($M$3:M150="0"),ROW($M$3:M150))),IF(COUNTIF($M$3:M150,"1")=0,10^9,LOOKUP(2,1/($M$3:M150="1"),ROW($M$3:M150))),IF(COUNTIF($M$3:M150,"2")=0,10^9,LOOKUP(2,1/($M$3:M150="2"),ROW($M$3:M150))),IF(COUNTIF($M$3:M150,"3")=0,10^9,LOOKUP(2,1/($M$3:M150="3"),ROW($M$3:M150))),IF(COUNTIF($M$3:M150,"4")=0,10^9,LOOKUP(2,1/($M$3:M150="4"),ROW($M$3:M150))),IF(COUNTIF($M$3:M150,"5")=0,10^9,LOOKUP(2,1/($M$3:M150="5"),ROW($M$3:M150))),IF(COUNTIF($M$3:M150,"6")=0,10^9,LOOKUP(2,1/($M$3:M150="6"),ROW($M$3:M150))),IF(COUNTIF($M$3:M150,"7")=0,10^9,LOOKUP(2,1/($M$3:M150="7"),ROW($M$3:M150))),IF(COUNTIF($M$3:M150,"8")=0,10^9,LOOKUP(2,1/($M$3:M150="8"),ROW($M$3:M150))),IF(COUNTIF($M$3:M150,"9")=0,10^9,LOOKUP(2,1/($M$3:M150="9"),ROW($M$3:M150))))-ROW($M$3)+1),"")),AND(N151&lt;&gt;"",N151=IFERROR(INDEX($N$3:N150,MIN(IF(COUNTIF($N$3:N150,"鼠")=0,10^9,LOOKUP(2,1/($N$3:N150="鼠"),ROW($N$3:N150))),IF(COUNTIF($N$3:N150,"牛")=0,10^9,LOOKUP(2,1/($N$3:N150="牛"),ROW($N$3:N150))),IF(COUNTIF($N$3:N150,"虎")=0,10^9,LOOKUP(2,1/($N$3:N150="虎"),ROW($N$3:N150))),IF(COUNTIF($N$3:N150,"兔")=0,10^9,LOOKUP(2,1/($N$3:N150="兔"),ROW($N$3:N150))),IF(COUNTIF($N$3:N150,"龙")=0,10^9,LOOKUP(2,1/($N$3:N150="龙"),ROW($N$3:N150))),IF(COUNTIF($N$3:N150,"蛇")=0,10^9,LOOKUP(2,1/($N$3:N150="蛇"),ROW($N$3:N150))),IF(COUNTIF($N$3:N150,"马")=0,10^9,LOOKUP(2,1/($N$3:N150="马"),ROW($N$3:N150))),IF(COUNTIF($N$3:N150,"羊")=0,10^9,LOOKUP(2,1/($N$3:N150="羊"),ROW($N$3:N150))),IF(COUNTIF($N$3:N150,"猴")=0,10^9,LOOKUP(2,1/($N$3:N150="猴"),ROW($N$3:N150))),IF(COUNTIF($N$3:N150,"鸡")=0,10^9,LOOKUP(2,1/($N$3:N150="鸡"),ROW($N$3:N150))),IF(COUNTIF($N$3:N150,"狗")=0,10^9,LOOKUP(2,1/($N$3:N150="狗"),ROW($N$3:N150))),IF(COUNTIF($N$3:N150,"猪")=0,10^9,LOOKUP(2,1/($N$3:N150="猪"),ROW($N$3:N150))))-ROW($N$3)+1),""))),0,IF(ISNUMBER(J150),J150+1,1)))</f>
        <v/>
      </c>
      <c r="K151" s="5" t="e">
        <f t="shared" si="18"/>
        <v>#N/A</v>
      </c>
      <c r="M151" s="6" t="str">
        <f t="shared" si="14"/>
        <v/>
      </c>
      <c r="N151" s="2" t="e">
        <f t="shared" si="15"/>
        <v>#N/A</v>
      </c>
      <c r="O151" s="7" t="str">
        <f>IF(M151="","",IF(COUNTIF(M152:$M$1000,M151)&gt;0,"",M151))</f>
        <v/>
      </c>
      <c r="P151" s="8" t="e">
        <f>IF(N151="","",IF(COUNTIF(N152:$N$1000,N151)&gt;0,"",N151))</f>
        <v>#N/A</v>
      </c>
      <c r="Q151" s="21" t="e">
        <f t="shared" si="16"/>
        <v>#NUM!</v>
      </c>
      <c r="R151" s="22" t="e">
        <f t="shared" si="17"/>
        <v>#NUM!</v>
      </c>
      <c r="X151" s="2"/>
      <c r="Y151" s="2"/>
    </row>
    <row r="152" s="1" customFormat="1" spans="1:25">
      <c r="A152" s="2">
        <v>115056787</v>
      </c>
      <c r="B152" s="2"/>
      <c r="C152" s="2"/>
      <c r="D152" s="2"/>
      <c r="E152" s="2"/>
      <c r="F152" s="2"/>
      <c r="G152" s="2"/>
      <c r="H152" s="3"/>
      <c r="I152" s="2" t="e">
        <f t="shared" si="13"/>
        <v>#N/A</v>
      </c>
      <c r="J152" s="4" t="str">
        <f>IF(H152="","",IF(OR(AND(M152&lt;&gt;"",M152=IFERROR(INDEX($M$3:M151,MIN(IF(COUNTIF($M$3:M151,"0")=0,10^9,LOOKUP(2,1/($M$3:M151="0"),ROW($M$3:M151))),IF(COUNTIF($M$3:M151,"1")=0,10^9,LOOKUP(2,1/($M$3:M151="1"),ROW($M$3:M151))),IF(COUNTIF($M$3:M151,"2")=0,10^9,LOOKUP(2,1/($M$3:M151="2"),ROW($M$3:M151))),IF(COUNTIF($M$3:M151,"3")=0,10^9,LOOKUP(2,1/($M$3:M151="3"),ROW($M$3:M151))),IF(COUNTIF($M$3:M151,"4")=0,10^9,LOOKUP(2,1/($M$3:M151="4"),ROW($M$3:M151))),IF(COUNTIF($M$3:M151,"5")=0,10^9,LOOKUP(2,1/($M$3:M151="5"),ROW($M$3:M151))),IF(COUNTIF($M$3:M151,"6")=0,10^9,LOOKUP(2,1/($M$3:M151="6"),ROW($M$3:M151))),IF(COUNTIF($M$3:M151,"7")=0,10^9,LOOKUP(2,1/($M$3:M151="7"),ROW($M$3:M151))),IF(COUNTIF($M$3:M151,"8")=0,10^9,LOOKUP(2,1/($M$3:M151="8"),ROW($M$3:M151))),IF(COUNTIF($M$3:M151,"9")=0,10^9,LOOKUP(2,1/($M$3:M151="9"),ROW($M$3:M151))))-ROW($M$3)+1),"")),AND(N152&lt;&gt;"",N152=IFERROR(INDEX($N$3:N151,MIN(IF(COUNTIF($N$3:N151,"鼠")=0,10^9,LOOKUP(2,1/($N$3:N151="鼠"),ROW($N$3:N151))),IF(COUNTIF($N$3:N151,"牛")=0,10^9,LOOKUP(2,1/($N$3:N151="牛"),ROW($N$3:N151))),IF(COUNTIF($N$3:N151,"虎")=0,10^9,LOOKUP(2,1/($N$3:N151="虎"),ROW($N$3:N151))),IF(COUNTIF($N$3:N151,"兔")=0,10^9,LOOKUP(2,1/($N$3:N151="兔"),ROW($N$3:N151))),IF(COUNTIF($N$3:N151,"龙")=0,10^9,LOOKUP(2,1/($N$3:N151="龙"),ROW($N$3:N151))),IF(COUNTIF($N$3:N151,"蛇")=0,10^9,LOOKUP(2,1/($N$3:N151="蛇"),ROW($N$3:N151))),IF(COUNTIF($N$3:N151,"马")=0,10^9,LOOKUP(2,1/($N$3:N151="马"),ROW($N$3:N151))),IF(COUNTIF($N$3:N151,"羊")=0,10^9,LOOKUP(2,1/($N$3:N151="羊"),ROW($N$3:N151))),IF(COUNTIF($N$3:N151,"猴")=0,10^9,LOOKUP(2,1/($N$3:N151="猴"),ROW($N$3:N151))),IF(COUNTIF($N$3:N151,"鸡")=0,10^9,LOOKUP(2,1/($N$3:N151="鸡"),ROW($N$3:N151))),IF(COUNTIF($N$3:N151,"狗")=0,10^9,LOOKUP(2,1/($N$3:N151="狗"),ROW($N$3:N151))),IF(COUNTIF($N$3:N151,"猪")=0,10^9,LOOKUP(2,1/($N$3:N151="猪"),ROW($N$3:N151))))-ROW($N$3)+1),""))),0,IF(ISNUMBER(J151),J151+1,1)))</f>
        <v/>
      </c>
      <c r="K152" s="5" t="e">
        <f t="shared" si="18"/>
        <v>#N/A</v>
      </c>
      <c r="M152" s="6" t="str">
        <f t="shared" si="14"/>
        <v/>
      </c>
      <c r="N152" s="2" t="e">
        <f t="shared" si="15"/>
        <v>#N/A</v>
      </c>
      <c r="O152" s="7" t="str">
        <f>IF(M152="","",IF(COUNTIF(M153:$M$1000,M152)&gt;0,"",M152))</f>
        <v/>
      </c>
      <c r="P152" s="8" t="e">
        <f>IF(N152="","",IF(COUNTIF(N153:$N$1000,N152)&gt;0,"",N152))</f>
        <v>#N/A</v>
      </c>
      <c r="Q152" s="21" t="e">
        <f t="shared" si="16"/>
        <v>#NUM!</v>
      </c>
      <c r="R152" s="22" t="e">
        <f t="shared" si="17"/>
        <v>#NUM!</v>
      </c>
      <c r="X152" s="2"/>
      <c r="Y152" s="2"/>
    </row>
    <row r="153" s="1" customFormat="1" spans="1:25">
      <c r="A153" s="2">
        <v>115056788</v>
      </c>
      <c r="B153" s="2"/>
      <c r="C153" s="2"/>
      <c r="D153" s="2"/>
      <c r="E153" s="2"/>
      <c r="F153" s="2"/>
      <c r="G153" s="2"/>
      <c r="H153" s="3"/>
      <c r="I153" s="2" t="e">
        <f t="shared" si="13"/>
        <v>#N/A</v>
      </c>
      <c r="J153" s="4" t="str">
        <f>IF(H153="","",IF(OR(AND(M153&lt;&gt;"",M153=IFERROR(INDEX($M$3:M152,MIN(IF(COUNTIF($M$3:M152,"0")=0,10^9,LOOKUP(2,1/($M$3:M152="0"),ROW($M$3:M152))),IF(COUNTIF($M$3:M152,"1")=0,10^9,LOOKUP(2,1/($M$3:M152="1"),ROW($M$3:M152))),IF(COUNTIF($M$3:M152,"2")=0,10^9,LOOKUP(2,1/($M$3:M152="2"),ROW($M$3:M152))),IF(COUNTIF($M$3:M152,"3")=0,10^9,LOOKUP(2,1/($M$3:M152="3"),ROW($M$3:M152))),IF(COUNTIF($M$3:M152,"4")=0,10^9,LOOKUP(2,1/($M$3:M152="4"),ROW($M$3:M152))),IF(COUNTIF($M$3:M152,"5")=0,10^9,LOOKUP(2,1/($M$3:M152="5"),ROW($M$3:M152))),IF(COUNTIF($M$3:M152,"6")=0,10^9,LOOKUP(2,1/($M$3:M152="6"),ROW($M$3:M152))),IF(COUNTIF($M$3:M152,"7")=0,10^9,LOOKUP(2,1/($M$3:M152="7"),ROW($M$3:M152))),IF(COUNTIF($M$3:M152,"8")=0,10^9,LOOKUP(2,1/($M$3:M152="8"),ROW($M$3:M152))),IF(COUNTIF($M$3:M152,"9")=0,10^9,LOOKUP(2,1/($M$3:M152="9"),ROW($M$3:M152))))-ROW($M$3)+1),"")),AND(N153&lt;&gt;"",N153=IFERROR(INDEX($N$3:N152,MIN(IF(COUNTIF($N$3:N152,"鼠")=0,10^9,LOOKUP(2,1/($N$3:N152="鼠"),ROW($N$3:N152))),IF(COUNTIF($N$3:N152,"牛")=0,10^9,LOOKUP(2,1/($N$3:N152="牛"),ROW($N$3:N152))),IF(COUNTIF($N$3:N152,"虎")=0,10^9,LOOKUP(2,1/($N$3:N152="虎"),ROW($N$3:N152))),IF(COUNTIF($N$3:N152,"兔")=0,10^9,LOOKUP(2,1/($N$3:N152="兔"),ROW($N$3:N152))),IF(COUNTIF($N$3:N152,"龙")=0,10^9,LOOKUP(2,1/($N$3:N152="龙"),ROW($N$3:N152))),IF(COUNTIF($N$3:N152,"蛇")=0,10^9,LOOKUP(2,1/($N$3:N152="蛇"),ROW($N$3:N152))),IF(COUNTIF($N$3:N152,"马")=0,10^9,LOOKUP(2,1/($N$3:N152="马"),ROW($N$3:N152))),IF(COUNTIF($N$3:N152,"羊")=0,10^9,LOOKUP(2,1/($N$3:N152="羊"),ROW($N$3:N152))),IF(COUNTIF($N$3:N152,"猴")=0,10^9,LOOKUP(2,1/($N$3:N152="猴"),ROW($N$3:N152))),IF(COUNTIF($N$3:N152,"鸡")=0,10^9,LOOKUP(2,1/($N$3:N152="鸡"),ROW($N$3:N152))),IF(COUNTIF($N$3:N152,"狗")=0,10^9,LOOKUP(2,1/($N$3:N152="狗"),ROW($N$3:N152))),IF(COUNTIF($N$3:N152,"猪")=0,10^9,LOOKUP(2,1/($N$3:N152="猪"),ROW($N$3:N152))))-ROW($N$3)+1),""))),0,IF(ISNUMBER(J152),J152+1,1)))</f>
        <v/>
      </c>
      <c r="K153" s="5" t="e">
        <f t="shared" si="18"/>
        <v>#N/A</v>
      </c>
      <c r="M153" s="6" t="str">
        <f t="shared" si="14"/>
        <v/>
      </c>
      <c r="N153" s="2" t="e">
        <f t="shared" si="15"/>
        <v>#N/A</v>
      </c>
      <c r="O153" s="7" t="str">
        <f>IF(M153="","",IF(COUNTIF(M154:$M$1000,M153)&gt;0,"",M153))</f>
        <v/>
      </c>
      <c r="P153" s="8" t="e">
        <f>IF(N153="","",IF(COUNTIF(N154:$N$1000,N153)&gt;0,"",N153))</f>
        <v>#N/A</v>
      </c>
      <c r="Q153" s="21" t="e">
        <f t="shared" si="16"/>
        <v>#NUM!</v>
      </c>
      <c r="R153" s="22" t="e">
        <f t="shared" si="17"/>
        <v>#NUM!</v>
      </c>
      <c r="X153" s="2"/>
      <c r="Y153" s="2"/>
    </row>
    <row r="154" s="1" customFormat="1" spans="1:25">
      <c r="A154" s="2">
        <v>115056789</v>
      </c>
      <c r="B154" s="2"/>
      <c r="C154" s="2"/>
      <c r="D154" s="2"/>
      <c r="E154" s="2"/>
      <c r="F154" s="2"/>
      <c r="G154" s="2"/>
      <c r="H154" s="3"/>
      <c r="I154" s="2" t="e">
        <f t="shared" si="13"/>
        <v>#N/A</v>
      </c>
      <c r="J154" s="4" t="str">
        <f>IF(H154="","",IF(OR(AND(M154&lt;&gt;"",M154=IFERROR(INDEX($M$3:M153,MIN(IF(COUNTIF($M$3:M153,"0")=0,10^9,LOOKUP(2,1/($M$3:M153="0"),ROW($M$3:M153))),IF(COUNTIF($M$3:M153,"1")=0,10^9,LOOKUP(2,1/($M$3:M153="1"),ROW($M$3:M153))),IF(COUNTIF($M$3:M153,"2")=0,10^9,LOOKUP(2,1/($M$3:M153="2"),ROW($M$3:M153))),IF(COUNTIF($M$3:M153,"3")=0,10^9,LOOKUP(2,1/($M$3:M153="3"),ROW($M$3:M153))),IF(COUNTIF($M$3:M153,"4")=0,10^9,LOOKUP(2,1/($M$3:M153="4"),ROW($M$3:M153))),IF(COUNTIF($M$3:M153,"5")=0,10^9,LOOKUP(2,1/($M$3:M153="5"),ROW($M$3:M153))),IF(COUNTIF($M$3:M153,"6")=0,10^9,LOOKUP(2,1/($M$3:M153="6"),ROW($M$3:M153))),IF(COUNTIF($M$3:M153,"7")=0,10^9,LOOKUP(2,1/($M$3:M153="7"),ROW($M$3:M153))),IF(COUNTIF($M$3:M153,"8")=0,10^9,LOOKUP(2,1/($M$3:M153="8"),ROW($M$3:M153))),IF(COUNTIF($M$3:M153,"9")=0,10^9,LOOKUP(2,1/($M$3:M153="9"),ROW($M$3:M153))))-ROW($M$3)+1),"")),AND(N154&lt;&gt;"",N154=IFERROR(INDEX($N$3:N153,MIN(IF(COUNTIF($N$3:N153,"鼠")=0,10^9,LOOKUP(2,1/($N$3:N153="鼠"),ROW($N$3:N153))),IF(COUNTIF($N$3:N153,"牛")=0,10^9,LOOKUP(2,1/($N$3:N153="牛"),ROW($N$3:N153))),IF(COUNTIF($N$3:N153,"虎")=0,10^9,LOOKUP(2,1/($N$3:N153="虎"),ROW($N$3:N153))),IF(COUNTIF($N$3:N153,"兔")=0,10^9,LOOKUP(2,1/($N$3:N153="兔"),ROW($N$3:N153))),IF(COUNTIF($N$3:N153,"龙")=0,10^9,LOOKUP(2,1/($N$3:N153="龙"),ROW($N$3:N153))),IF(COUNTIF($N$3:N153,"蛇")=0,10^9,LOOKUP(2,1/($N$3:N153="蛇"),ROW($N$3:N153))),IF(COUNTIF($N$3:N153,"马")=0,10^9,LOOKUP(2,1/($N$3:N153="马"),ROW($N$3:N153))),IF(COUNTIF($N$3:N153,"羊")=0,10^9,LOOKUP(2,1/($N$3:N153="羊"),ROW($N$3:N153))),IF(COUNTIF($N$3:N153,"猴")=0,10^9,LOOKUP(2,1/($N$3:N153="猴"),ROW($N$3:N153))),IF(COUNTIF($N$3:N153,"鸡")=0,10^9,LOOKUP(2,1/($N$3:N153="鸡"),ROW($N$3:N153))),IF(COUNTIF($N$3:N153,"狗")=0,10^9,LOOKUP(2,1/($N$3:N153="狗"),ROW($N$3:N153))),IF(COUNTIF($N$3:N153,"猪")=0,10^9,LOOKUP(2,1/($N$3:N153="猪"),ROW($N$3:N153))))-ROW($N$3)+1),""))),0,IF(ISNUMBER(J153),J153+1,1)))</f>
        <v/>
      </c>
      <c r="K154" s="5" t="e">
        <f t="shared" si="18"/>
        <v>#N/A</v>
      </c>
      <c r="M154" s="6" t="str">
        <f t="shared" si="14"/>
        <v/>
      </c>
      <c r="N154" s="2" t="e">
        <f t="shared" si="15"/>
        <v>#N/A</v>
      </c>
      <c r="O154" s="7" t="str">
        <f>IF(M154="","",IF(COUNTIF(M155:$M$1000,M154)&gt;0,"",M154))</f>
        <v/>
      </c>
      <c r="P154" s="8" t="e">
        <f>IF(N154="","",IF(COUNTIF(N155:$N$1000,N154)&gt;0,"",N154))</f>
        <v>#N/A</v>
      </c>
      <c r="Q154" s="21" t="e">
        <f t="shared" si="16"/>
        <v>#NUM!</v>
      </c>
      <c r="R154" s="22" t="e">
        <f t="shared" si="17"/>
        <v>#NUM!</v>
      </c>
      <c r="X154" s="2"/>
      <c r="Y154" s="2"/>
    </row>
    <row r="155" s="1" customFormat="1" spans="1:25">
      <c r="A155" s="2">
        <v>115056790</v>
      </c>
      <c r="B155" s="2"/>
      <c r="C155" s="2"/>
      <c r="D155" s="2"/>
      <c r="E155" s="2"/>
      <c r="F155" s="2"/>
      <c r="G155" s="2"/>
      <c r="H155" s="3"/>
      <c r="I155" s="2" t="e">
        <f t="shared" si="13"/>
        <v>#N/A</v>
      </c>
      <c r="J155" s="4" t="str">
        <f>IF(H155="","",IF(OR(AND(M155&lt;&gt;"",M155=IFERROR(INDEX($M$3:M154,MIN(IF(COUNTIF($M$3:M154,"0")=0,10^9,LOOKUP(2,1/($M$3:M154="0"),ROW($M$3:M154))),IF(COUNTIF($M$3:M154,"1")=0,10^9,LOOKUP(2,1/($M$3:M154="1"),ROW($M$3:M154))),IF(COUNTIF($M$3:M154,"2")=0,10^9,LOOKUP(2,1/($M$3:M154="2"),ROW($M$3:M154))),IF(COUNTIF($M$3:M154,"3")=0,10^9,LOOKUP(2,1/($M$3:M154="3"),ROW($M$3:M154))),IF(COUNTIF($M$3:M154,"4")=0,10^9,LOOKUP(2,1/($M$3:M154="4"),ROW($M$3:M154))),IF(COUNTIF($M$3:M154,"5")=0,10^9,LOOKUP(2,1/($M$3:M154="5"),ROW($M$3:M154))),IF(COUNTIF($M$3:M154,"6")=0,10^9,LOOKUP(2,1/($M$3:M154="6"),ROW($M$3:M154))),IF(COUNTIF($M$3:M154,"7")=0,10^9,LOOKUP(2,1/($M$3:M154="7"),ROW($M$3:M154))),IF(COUNTIF($M$3:M154,"8")=0,10^9,LOOKUP(2,1/($M$3:M154="8"),ROW($M$3:M154))),IF(COUNTIF($M$3:M154,"9")=0,10^9,LOOKUP(2,1/($M$3:M154="9"),ROW($M$3:M154))))-ROW($M$3)+1),"")),AND(N155&lt;&gt;"",N155=IFERROR(INDEX($N$3:N154,MIN(IF(COUNTIF($N$3:N154,"鼠")=0,10^9,LOOKUP(2,1/($N$3:N154="鼠"),ROW($N$3:N154))),IF(COUNTIF($N$3:N154,"牛")=0,10^9,LOOKUP(2,1/($N$3:N154="牛"),ROW($N$3:N154))),IF(COUNTIF($N$3:N154,"虎")=0,10^9,LOOKUP(2,1/($N$3:N154="虎"),ROW($N$3:N154))),IF(COUNTIF($N$3:N154,"兔")=0,10^9,LOOKUP(2,1/($N$3:N154="兔"),ROW($N$3:N154))),IF(COUNTIF($N$3:N154,"龙")=0,10^9,LOOKUP(2,1/($N$3:N154="龙"),ROW($N$3:N154))),IF(COUNTIF($N$3:N154,"蛇")=0,10^9,LOOKUP(2,1/($N$3:N154="蛇"),ROW($N$3:N154))),IF(COUNTIF($N$3:N154,"马")=0,10^9,LOOKUP(2,1/($N$3:N154="马"),ROW($N$3:N154))),IF(COUNTIF($N$3:N154,"羊")=0,10^9,LOOKUP(2,1/($N$3:N154="羊"),ROW($N$3:N154))),IF(COUNTIF($N$3:N154,"猴")=0,10^9,LOOKUP(2,1/($N$3:N154="猴"),ROW($N$3:N154))),IF(COUNTIF($N$3:N154,"鸡")=0,10^9,LOOKUP(2,1/($N$3:N154="鸡"),ROW($N$3:N154))),IF(COUNTIF($N$3:N154,"狗")=0,10^9,LOOKUP(2,1/($N$3:N154="狗"),ROW($N$3:N154))),IF(COUNTIF($N$3:N154,"猪")=0,10^9,LOOKUP(2,1/($N$3:N154="猪"),ROW($N$3:N154))))-ROW($N$3)+1),""))),0,IF(ISNUMBER(J154),J154+1,1)))</f>
        <v/>
      </c>
      <c r="K155" s="5" t="e">
        <f t="shared" si="18"/>
        <v>#N/A</v>
      </c>
      <c r="M155" s="6" t="str">
        <f t="shared" si="14"/>
        <v/>
      </c>
      <c r="N155" s="2" t="e">
        <f t="shared" si="15"/>
        <v>#N/A</v>
      </c>
      <c r="O155" s="7" t="str">
        <f>IF(M155="","",IF(COUNTIF(M156:$M$1000,M155)&gt;0,"",M155))</f>
        <v/>
      </c>
      <c r="P155" s="8" t="e">
        <f>IF(N155="","",IF(COUNTIF(N156:$N$1000,N155)&gt;0,"",N155))</f>
        <v>#N/A</v>
      </c>
      <c r="Q155" s="21" t="e">
        <f t="shared" si="16"/>
        <v>#NUM!</v>
      </c>
      <c r="R155" s="22" t="e">
        <f t="shared" si="17"/>
        <v>#NUM!</v>
      </c>
      <c r="X155" s="2"/>
      <c r="Y155" s="2"/>
    </row>
    <row r="156" s="1" customFormat="1" spans="1:25">
      <c r="A156" s="2">
        <v>115056791</v>
      </c>
      <c r="B156" s="2"/>
      <c r="C156" s="2"/>
      <c r="D156" s="2"/>
      <c r="E156" s="2"/>
      <c r="F156" s="2"/>
      <c r="G156" s="2"/>
      <c r="H156" s="3"/>
      <c r="I156" s="2" t="e">
        <f t="shared" si="13"/>
        <v>#N/A</v>
      </c>
      <c r="J156" s="4" t="str">
        <f>IF(H156="","",IF(OR(AND(M156&lt;&gt;"",M156=IFERROR(INDEX($M$3:M155,MIN(IF(COUNTIF($M$3:M155,"0")=0,10^9,LOOKUP(2,1/($M$3:M155="0"),ROW($M$3:M155))),IF(COUNTIF($M$3:M155,"1")=0,10^9,LOOKUP(2,1/($M$3:M155="1"),ROW($M$3:M155))),IF(COUNTIF($M$3:M155,"2")=0,10^9,LOOKUP(2,1/($M$3:M155="2"),ROW($M$3:M155))),IF(COUNTIF($M$3:M155,"3")=0,10^9,LOOKUP(2,1/($M$3:M155="3"),ROW($M$3:M155))),IF(COUNTIF($M$3:M155,"4")=0,10^9,LOOKUP(2,1/($M$3:M155="4"),ROW($M$3:M155))),IF(COUNTIF($M$3:M155,"5")=0,10^9,LOOKUP(2,1/($M$3:M155="5"),ROW($M$3:M155))),IF(COUNTIF($M$3:M155,"6")=0,10^9,LOOKUP(2,1/($M$3:M155="6"),ROW($M$3:M155))),IF(COUNTIF($M$3:M155,"7")=0,10^9,LOOKUP(2,1/($M$3:M155="7"),ROW($M$3:M155))),IF(COUNTIF($M$3:M155,"8")=0,10^9,LOOKUP(2,1/($M$3:M155="8"),ROW($M$3:M155))),IF(COUNTIF($M$3:M155,"9")=0,10^9,LOOKUP(2,1/($M$3:M155="9"),ROW($M$3:M155))))-ROW($M$3)+1),"")),AND(N156&lt;&gt;"",N156=IFERROR(INDEX($N$3:N155,MIN(IF(COUNTIF($N$3:N155,"鼠")=0,10^9,LOOKUP(2,1/($N$3:N155="鼠"),ROW($N$3:N155))),IF(COUNTIF($N$3:N155,"牛")=0,10^9,LOOKUP(2,1/($N$3:N155="牛"),ROW($N$3:N155))),IF(COUNTIF($N$3:N155,"虎")=0,10^9,LOOKUP(2,1/($N$3:N155="虎"),ROW($N$3:N155))),IF(COUNTIF($N$3:N155,"兔")=0,10^9,LOOKUP(2,1/($N$3:N155="兔"),ROW($N$3:N155))),IF(COUNTIF($N$3:N155,"龙")=0,10^9,LOOKUP(2,1/($N$3:N155="龙"),ROW($N$3:N155))),IF(COUNTIF($N$3:N155,"蛇")=0,10^9,LOOKUP(2,1/($N$3:N155="蛇"),ROW($N$3:N155))),IF(COUNTIF($N$3:N155,"马")=0,10^9,LOOKUP(2,1/($N$3:N155="马"),ROW($N$3:N155))),IF(COUNTIF($N$3:N155,"羊")=0,10^9,LOOKUP(2,1/($N$3:N155="羊"),ROW($N$3:N155))),IF(COUNTIF($N$3:N155,"猴")=0,10^9,LOOKUP(2,1/($N$3:N155="猴"),ROW($N$3:N155))),IF(COUNTIF($N$3:N155,"鸡")=0,10^9,LOOKUP(2,1/($N$3:N155="鸡"),ROW($N$3:N155))),IF(COUNTIF($N$3:N155,"狗")=0,10^9,LOOKUP(2,1/($N$3:N155="狗"),ROW($N$3:N155))),IF(COUNTIF($N$3:N155,"猪")=0,10^9,LOOKUP(2,1/($N$3:N155="猪"),ROW($N$3:N155))))-ROW($N$3)+1),""))),0,IF(ISNUMBER(J155),J155+1,1)))</f>
        <v/>
      </c>
      <c r="K156" s="5" t="e">
        <f t="shared" si="18"/>
        <v>#N/A</v>
      </c>
      <c r="M156" s="6" t="str">
        <f t="shared" si="14"/>
        <v/>
      </c>
      <c r="N156" s="2" t="e">
        <f t="shared" si="15"/>
        <v>#N/A</v>
      </c>
      <c r="O156" s="7" t="str">
        <f>IF(M156="","",IF(COUNTIF(M157:$M$1000,M156)&gt;0,"",M156))</f>
        <v/>
      </c>
      <c r="P156" s="8" t="e">
        <f>IF(N156="","",IF(COUNTIF(N157:$N$1000,N156)&gt;0,"",N156))</f>
        <v>#N/A</v>
      </c>
      <c r="Q156" s="21" t="e">
        <f t="shared" si="16"/>
        <v>#NUM!</v>
      </c>
      <c r="R156" s="22" t="e">
        <f t="shared" si="17"/>
        <v>#NUM!</v>
      </c>
      <c r="X156" s="2"/>
      <c r="Y156" s="2"/>
    </row>
    <row r="157" s="1" customFormat="1" spans="1:25">
      <c r="A157" s="2">
        <v>115056792</v>
      </c>
      <c r="B157" s="2"/>
      <c r="C157" s="2"/>
      <c r="D157" s="2"/>
      <c r="E157" s="2"/>
      <c r="F157" s="2"/>
      <c r="G157" s="2"/>
      <c r="H157" s="3"/>
      <c r="I157" s="2" t="e">
        <f t="shared" si="13"/>
        <v>#N/A</v>
      </c>
      <c r="J157" s="4" t="str">
        <f>IF(H157="","",IF(OR(AND(M157&lt;&gt;"",M157=IFERROR(INDEX($M$3:M156,MIN(IF(COUNTIF($M$3:M156,"0")=0,10^9,LOOKUP(2,1/($M$3:M156="0"),ROW($M$3:M156))),IF(COUNTIF($M$3:M156,"1")=0,10^9,LOOKUP(2,1/($M$3:M156="1"),ROW($M$3:M156))),IF(COUNTIF($M$3:M156,"2")=0,10^9,LOOKUP(2,1/($M$3:M156="2"),ROW($M$3:M156))),IF(COUNTIF($M$3:M156,"3")=0,10^9,LOOKUP(2,1/($M$3:M156="3"),ROW($M$3:M156))),IF(COUNTIF($M$3:M156,"4")=0,10^9,LOOKUP(2,1/($M$3:M156="4"),ROW($M$3:M156))),IF(COUNTIF($M$3:M156,"5")=0,10^9,LOOKUP(2,1/($M$3:M156="5"),ROW($M$3:M156))),IF(COUNTIF($M$3:M156,"6")=0,10^9,LOOKUP(2,1/($M$3:M156="6"),ROW($M$3:M156))),IF(COUNTIF($M$3:M156,"7")=0,10^9,LOOKUP(2,1/($M$3:M156="7"),ROW($M$3:M156))),IF(COUNTIF($M$3:M156,"8")=0,10^9,LOOKUP(2,1/($M$3:M156="8"),ROW($M$3:M156))),IF(COUNTIF($M$3:M156,"9")=0,10^9,LOOKUP(2,1/($M$3:M156="9"),ROW($M$3:M156))))-ROW($M$3)+1),"")),AND(N157&lt;&gt;"",N157=IFERROR(INDEX($N$3:N156,MIN(IF(COUNTIF($N$3:N156,"鼠")=0,10^9,LOOKUP(2,1/($N$3:N156="鼠"),ROW($N$3:N156))),IF(COUNTIF($N$3:N156,"牛")=0,10^9,LOOKUP(2,1/($N$3:N156="牛"),ROW($N$3:N156))),IF(COUNTIF($N$3:N156,"虎")=0,10^9,LOOKUP(2,1/($N$3:N156="虎"),ROW($N$3:N156))),IF(COUNTIF($N$3:N156,"兔")=0,10^9,LOOKUP(2,1/($N$3:N156="兔"),ROW($N$3:N156))),IF(COUNTIF($N$3:N156,"龙")=0,10^9,LOOKUP(2,1/($N$3:N156="龙"),ROW($N$3:N156))),IF(COUNTIF($N$3:N156,"蛇")=0,10^9,LOOKUP(2,1/($N$3:N156="蛇"),ROW($N$3:N156))),IF(COUNTIF($N$3:N156,"马")=0,10^9,LOOKUP(2,1/($N$3:N156="马"),ROW($N$3:N156))),IF(COUNTIF($N$3:N156,"羊")=0,10^9,LOOKUP(2,1/($N$3:N156="羊"),ROW($N$3:N156))),IF(COUNTIF($N$3:N156,"猴")=0,10^9,LOOKUP(2,1/($N$3:N156="猴"),ROW($N$3:N156))),IF(COUNTIF($N$3:N156,"鸡")=0,10^9,LOOKUP(2,1/($N$3:N156="鸡"),ROW($N$3:N156))),IF(COUNTIF($N$3:N156,"狗")=0,10^9,LOOKUP(2,1/($N$3:N156="狗"),ROW($N$3:N156))),IF(COUNTIF($N$3:N156,"猪")=0,10^9,LOOKUP(2,1/($N$3:N156="猪"),ROW($N$3:N156))))-ROW($N$3)+1),""))),0,IF(ISNUMBER(J156),J156+1,1)))</f>
        <v/>
      </c>
      <c r="K157" s="5" t="e">
        <f t="shared" si="18"/>
        <v>#N/A</v>
      </c>
      <c r="M157" s="6" t="str">
        <f t="shared" si="14"/>
        <v/>
      </c>
      <c r="N157" s="2" t="e">
        <f t="shared" si="15"/>
        <v>#N/A</v>
      </c>
      <c r="O157" s="7" t="str">
        <f>IF(M157="","",IF(COUNTIF(M158:$M$1000,M157)&gt;0,"",M157))</f>
        <v/>
      </c>
      <c r="P157" s="8" t="e">
        <f>IF(N157="","",IF(COUNTIF(N158:$N$1000,N157)&gt;0,"",N157))</f>
        <v>#N/A</v>
      </c>
      <c r="Q157" s="21" t="e">
        <f t="shared" si="16"/>
        <v>#NUM!</v>
      </c>
      <c r="R157" s="22" t="e">
        <f t="shared" si="17"/>
        <v>#NUM!</v>
      </c>
      <c r="X157" s="2"/>
      <c r="Y157" s="2"/>
    </row>
    <row r="158" s="1" customFormat="1" spans="1:25">
      <c r="A158" s="2">
        <v>115056793</v>
      </c>
      <c r="B158" s="2"/>
      <c r="C158" s="2"/>
      <c r="D158" s="2"/>
      <c r="E158" s="2"/>
      <c r="F158" s="2"/>
      <c r="G158" s="2"/>
      <c r="H158" s="3"/>
      <c r="I158" s="2" t="e">
        <f t="shared" si="13"/>
        <v>#N/A</v>
      </c>
      <c r="J158" s="4" t="str">
        <f>IF(H158="","",IF(OR(AND(M158&lt;&gt;"",M158=IFERROR(INDEX($M$3:M157,MIN(IF(COUNTIF($M$3:M157,"0")=0,10^9,LOOKUP(2,1/($M$3:M157="0"),ROW($M$3:M157))),IF(COUNTIF($M$3:M157,"1")=0,10^9,LOOKUP(2,1/($M$3:M157="1"),ROW($M$3:M157))),IF(COUNTIF($M$3:M157,"2")=0,10^9,LOOKUP(2,1/($M$3:M157="2"),ROW($M$3:M157))),IF(COUNTIF($M$3:M157,"3")=0,10^9,LOOKUP(2,1/($M$3:M157="3"),ROW($M$3:M157))),IF(COUNTIF($M$3:M157,"4")=0,10^9,LOOKUP(2,1/($M$3:M157="4"),ROW($M$3:M157))),IF(COUNTIF($M$3:M157,"5")=0,10^9,LOOKUP(2,1/($M$3:M157="5"),ROW($M$3:M157))),IF(COUNTIF($M$3:M157,"6")=0,10^9,LOOKUP(2,1/($M$3:M157="6"),ROW($M$3:M157))),IF(COUNTIF($M$3:M157,"7")=0,10^9,LOOKUP(2,1/($M$3:M157="7"),ROW($M$3:M157))),IF(COUNTIF($M$3:M157,"8")=0,10^9,LOOKUP(2,1/($M$3:M157="8"),ROW($M$3:M157))),IF(COUNTIF($M$3:M157,"9")=0,10^9,LOOKUP(2,1/($M$3:M157="9"),ROW($M$3:M157))))-ROW($M$3)+1),"")),AND(N158&lt;&gt;"",N158=IFERROR(INDEX($N$3:N157,MIN(IF(COUNTIF($N$3:N157,"鼠")=0,10^9,LOOKUP(2,1/($N$3:N157="鼠"),ROW($N$3:N157))),IF(COUNTIF($N$3:N157,"牛")=0,10^9,LOOKUP(2,1/($N$3:N157="牛"),ROW($N$3:N157))),IF(COUNTIF($N$3:N157,"虎")=0,10^9,LOOKUP(2,1/($N$3:N157="虎"),ROW($N$3:N157))),IF(COUNTIF($N$3:N157,"兔")=0,10^9,LOOKUP(2,1/($N$3:N157="兔"),ROW($N$3:N157))),IF(COUNTIF($N$3:N157,"龙")=0,10^9,LOOKUP(2,1/($N$3:N157="龙"),ROW($N$3:N157))),IF(COUNTIF($N$3:N157,"蛇")=0,10^9,LOOKUP(2,1/($N$3:N157="蛇"),ROW($N$3:N157))),IF(COUNTIF($N$3:N157,"马")=0,10^9,LOOKUP(2,1/($N$3:N157="马"),ROW($N$3:N157))),IF(COUNTIF($N$3:N157,"羊")=0,10^9,LOOKUP(2,1/($N$3:N157="羊"),ROW($N$3:N157))),IF(COUNTIF($N$3:N157,"猴")=0,10^9,LOOKUP(2,1/($N$3:N157="猴"),ROW($N$3:N157))),IF(COUNTIF($N$3:N157,"鸡")=0,10^9,LOOKUP(2,1/($N$3:N157="鸡"),ROW($N$3:N157))),IF(COUNTIF($N$3:N157,"狗")=0,10^9,LOOKUP(2,1/($N$3:N157="狗"),ROW($N$3:N157))),IF(COUNTIF($N$3:N157,"猪")=0,10^9,LOOKUP(2,1/($N$3:N157="猪"),ROW($N$3:N157))))-ROW($N$3)+1),""))),0,IF(ISNUMBER(J157),J157+1,1)))</f>
        <v/>
      </c>
      <c r="K158" s="5" t="e">
        <f t="shared" si="18"/>
        <v>#N/A</v>
      </c>
      <c r="M158" s="6" t="str">
        <f t="shared" si="14"/>
        <v/>
      </c>
      <c r="N158" s="2" t="e">
        <f t="shared" si="15"/>
        <v>#N/A</v>
      </c>
      <c r="O158" s="7" t="str">
        <f>IF(M158="","",IF(COUNTIF(M159:$M$1000,M158)&gt;0,"",M158))</f>
        <v/>
      </c>
      <c r="P158" s="8" t="e">
        <f>IF(N158="","",IF(COUNTIF(N159:$N$1000,N158)&gt;0,"",N158))</f>
        <v>#N/A</v>
      </c>
      <c r="Q158" s="21" t="e">
        <f t="shared" si="16"/>
        <v>#NUM!</v>
      </c>
      <c r="R158" s="22" t="e">
        <f t="shared" si="17"/>
        <v>#NUM!</v>
      </c>
      <c r="X158" s="2"/>
      <c r="Y158" s="2"/>
    </row>
    <row r="159" s="1" customFormat="1" spans="1:25">
      <c r="A159" s="2">
        <v>115056794</v>
      </c>
      <c r="B159" s="2"/>
      <c r="C159" s="2"/>
      <c r="D159" s="2"/>
      <c r="E159" s="2"/>
      <c r="F159" s="2"/>
      <c r="G159" s="2"/>
      <c r="H159" s="3"/>
      <c r="I159" s="2" t="e">
        <f t="shared" si="13"/>
        <v>#N/A</v>
      </c>
      <c r="J159" s="4" t="str">
        <f>IF(H159="","",IF(OR(AND(M159&lt;&gt;"",M159=IFERROR(INDEX($M$3:M158,MIN(IF(COUNTIF($M$3:M158,"0")=0,10^9,LOOKUP(2,1/($M$3:M158="0"),ROW($M$3:M158))),IF(COUNTIF($M$3:M158,"1")=0,10^9,LOOKUP(2,1/($M$3:M158="1"),ROW($M$3:M158))),IF(COUNTIF($M$3:M158,"2")=0,10^9,LOOKUP(2,1/($M$3:M158="2"),ROW($M$3:M158))),IF(COUNTIF($M$3:M158,"3")=0,10^9,LOOKUP(2,1/($M$3:M158="3"),ROW($M$3:M158))),IF(COUNTIF($M$3:M158,"4")=0,10^9,LOOKUP(2,1/($M$3:M158="4"),ROW($M$3:M158))),IF(COUNTIF($M$3:M158,"5")=0,10^9,LOOKUP(2,1/($M$3:M158="5"),ROW($M$3:M158))),IF(COUNTIF($M$3:M158,"6")=0,10^9,LOOKUP(2,1/($M$3:M158="6"),ROW($M$3:M158))),IF(COUNTIF($M$3:M158,"7")=0,10^9,LOOKUP(2,1/($M$3:M158="7"),ROW($M$3:M158))),IF(COUNTIF($M$3:M158,"8")=0,10^9,LOOKUP(2,1/($M$3:M158="8"),ROW($M$3:M158))),IF(COUNTIF($M$3:M158,"9")=0,10^9,LOOKUP(2,1/($M$3:M158="9"),ROW($M$3:M158))))-ROW($M$3)+1),"")),AND(N159&lt;&gt;"",N159=IFERROR(INDEX($N$3:N158,MIN(IF(COUNTIF($N$3:N158,"鼠")=0,10^9,LOOKUP(2,1/($N$3:N158="鼠"),ROW($N$3:N158))),IF(COUNTIF($N$3:N158,"牛")=0,10^9,LOOKUP(2,1/($N$3:N158="牛"),ROW($N$3:N158))),IF(COUNTIF($N$3:N158,"虎")=0,10^9,LOOKUP(2,1/($N$3:N158="虎"),ROW($N$3:N158))),IF(COUNTIF($N$3:N158,"兔")=0,10^9,LOOKUP(2,1/($N$3:N158="兔"),ROW($N$3:N158))),IF(COUNTIF($N$3:N158,"龙")=0,10^9,LOOKUP(2,1/($N$3:N158="龙"),ROW($N$3:N158))),IF(COUNTIF($N$3:N158,"蛇")=0,10^9,LOOKUP(2,1/($N$3:N158="蛇"),ROW($N$3:N158))),IF(COUNTIF($N$3:N158,"马")=0,10^9,LOOKUP(2,1/($N$3:N158="马"),ROW($N$3:N158))),IF(COUNTIF($N$3:N158,"羊")=0,10^9,LOOKUP(2,1/($N$3:N158="羊"),ROW($N$3:N158))),IF(COUNTIF($N$3:N158,"猴")=0,10^9,LOOKUP(2,1/($N$3:N158="猴"),ROW($N$3:N158))),IF(COUNTIF($N$3:N158,"鸡")=0,10^9,LOOKUP(2,1/($N$3:N158="鸡"),ROW($N$3:N158))),IF(COUNTIF($N$3:N158,"狗")=0,10^9,LOOKUP(2,1/($N$3:N158="狗"),ROW($N$3:N158))),IF(COUNTIF($N$3:N158,"猪")=0,10^9,LOOKUP(2,1/($N$3:N158="猪"),ROW($N$3:N158))))-ROW($N$3)+1),""))),0,IF(ISNUMBER(J158),J158+1,1)))</f>
        <v/>
      </c>
      <c r="K159" s="5" t="e">
        <f t="shared" si="18"/>
        <v>#N/A</v>
      </c>
      <c r="M159" s="6" t="str">
        <f t="shared" si="14"/>
        <v/>
      </c>
      <c r="N159" s="2" t="e">
        <f t="shared" si="15"/>
        <v>#N/A</v>
      </c>
      <c r="O159" s="7" t="str">
        <f>IF(M159="","",IF(COUNTIF(M160:$M$1000,M159)&gt;0,"",M159))</f>
        <v/>
      </c>
      <c r="P159" s="8" t="e">
        <f>IF(N159="","",IF(COUNTIF(N160:$N$1000,N159)&gt;0,"",N159))</f>
        <v>#N/A</v>
      </c>
      <c r="Q159" s="21" t="e">
        <f t="shared" si="16"/>
        <v>#NUM!</v>
      </c>
      <c r="R159" s="22" t="e">
        <f t="shared" si="17"/>
        <v>#NUM!</v>
      </c>
      <c r="X159" s="2"/>
      <c r="Y159" s="2"/>
    </row>
    <row r="160" s="1" customFormat="1" spans="1:25">
      <c r="A160" s="2">
        <v>115056795</v>
      </c>
      <c r="B160" s="2"/>
      <c r="C160" s="2"/>
      <c r="D160" s="2"/>
      <c r="E160" s="2"/>
      <c r="F160" s="2"/>
      <c r="G160" s="2"/>
      <c r="H160" s="3"/>
      <c r="I160" s="2" t="e">
        <f t="shared" si="13"/>
        <v>#N/A</v>
      </c>
      <c r="J160" s="4" t="str">
        <f>IF(H160="","",IF(OR(AND(M160&lt;&gt;"",M160=IFERROR(INDEX($M$3:M159,MIN(IF(COUNTIF($M$3:M159,"0")=0,10^9,LOOKUP(2,1/($M$3:M159="0"),ROW($M$3:M159))),IF(COUNTIF($M$3:M159,"1")=0,10^9,LOOKUP(2,1/($M$3:M159="1"),ROW($M$3:M159))),IF(COUNTIF($M$3:M159,"2")=0,10^9,LOOKUP(2,1/($M$3:M159="2"),ROW($M$3:M159))),IF(COUNTIF($M$3:M159,"3")=0,10^9,LOOKUP(2,1/($M$3:M159="3"),ROW($M$3:M159))),IF(COUNTIF($M$3:M159,"4")=0,10^9,LOOKUP(2,1/($M$3:M159="4"),ROW($M$3:M159))),IF(COUNTIF($M$3:M159,"5")=0,10^9,LOOKUP(2,1/($M$3:M159="5"),ROW($M$3:M159))),IF(COUNTIF($M$3:M159,"6")=0,10^9,LOOKUP(2,1/($M$3:M159="6"),ROW($M$3:M159))),IF(COUNTIF($M$3:M159,"7")=0,10^9,LOOKUP(2,1/($M$3:M159="7"),ROW($M$3:M159))),IF(COUNTIF($M$3:M159,"8")=0,10^9,LOOKUP(2,1/($M$3:M159="8"),ROW($M$3:M159))),IF(COUNTIF($M$3:M159,"9")=0,10^9,LOOKUP(2,1/($M$3:M159="9"),ROW($M$3:M159))))-ROW($M$3)+1),"")),AND(N160&lt;&gt;"",N160=IFERROR(INDEX($N$3:N159,MIN(IF(COUNTIF($N$3:N159,"鼠")=0,10^9,LOOKUP(2,1/($N$3:N159="鼠"),ROW($N$3:N159))),IF(COUNTIF($N$3:N159,"牛")=0,10^9,LOOKUP(2,1/($N$3:N159="牛"),ROW($N$3:N159))),IF(COUNTIF($N$3:N159,"虎")=0,10^9,LOOKUP(2,1/($N$3:N159="虎"),ROW($N$3:N159))),IF(COUNTIF($N$3:N159,"兔")=0,10^9,LOOKUP(2,1/($N$3:N159="兔"),ROW($N$3:N159))),IF(COUNTIF($N$3:N159,"龙")=0,10^9,LOOKUP(2,1/($N$3:N159="龙"),ROW($N$3:N159))),IF(COUNTIF($N$3:N159,"蛇")=0,10^9,LOOKUP(2,1/($N$3:N159="蛇"),ROW($N$3:N159))),IF(COUNTIF($N$3:N159,"马")=0,10^9,LOOKUP(2,1/($N$3:N159="马"),ROW($N$3:N159))),IF(COUNTIF($N$3:N159,"羊")=0,10^9,LOOKUP(2,1/($N$3:N159="羊"),ROW($N$3:N159))),IF(COUNTIF($N$3:N159,"猴")=0,10^9,LOOKUP(2,1/($N$3:N159="猴"),ROW($N$3:N159))),IF(COUNTIF($N$3:N159,"鸡")=0,10^9,LOOKUP(2,1/($N$3:N159="鸡"),ROW($N$3:N159))),IF(COUNTIF($N$3:N159,"狗")=0,10^9,LOOKUP(2,1/($N$3:N159="狗"),ROW($N$3:N159))),IF(COUNTIF($N$3:N159,"猪")=0,10^9,LOOKUP(2,1/($N$3:N159="猪"),ROW($N$3:N159))))-ROW($N$3)+1),""))),0,IF(ISNUMBER(J159),J159+1,1)))</f>
        <v/>
      </c>
      <c r="K160" s="5" t="e">
        <f t="shared" si="18"/>
        <v>#N/A</v>
      </c>
      <c r="M160" s="6" t="str">
        <f t="shared" si="14"/>
        <v/>
      </c>
      <c r="N160" s="2" t="e">
        <f t="shared" si="15"/>
        <v>#N/A</v>
      </c>
      <c r="O160" s="7" t="str">
        <f>IF(M160="","",IF(COUNTIF(M161:$M$1000,M160)&gt;0,"",M160))</f>
        <v/>
      </c>
      <c r="P160" s="8" t="e">
        <f>IF(N160="","",IF(COUNTIF(N161:$N$1000,N160)&gt;0,"",N160))</f>
        <v>#N/A</v>
      </c>
      <c r="Q160" s="21" t="e">
        <f t="shared" si="16"/>
        <v>#NUM!</v>
      </c>
      <c r="R160" s="22" t="e">
        <f t="shared" si="17"/>
        <v>#NUM!</v>
      </c>
      <c r="X160" s="2"/>
      <c r="Y160" s="2"/>
    </row>
    <row r="161" s="1" customFormat="1" spans="1:25">
      <c r="A161" s="2">
        <v>115056796</v>
      </c>
      <c r="B161" s="2"/>
      <c r="C161" s="2"/>
      <c r="D161" s="2"/>
      <c r="E161" s="2"/>
      <c r="F161" s="2"/>
      <c r="G161" s="2"/>
      <c r="H161" s="3"/>
      <c r="I161" s="2" t="e">
        <f t="shared" si="13"/>
        <v>#N/A</v>
      </c>
      <c r="J161" s="4" t="str">
        <f>IF(H161="","",IF(OR(AND(M161&lt;&gt;"",M161=IFERROR(INDEX($M$3:M160,MIN(IF(COUNTIF($M$3:M160,"0")=0,10^9,LOOKUP(2,1/($M$3:M160="0"),ROW($M$3:M160))),IF(COUNTIF($M$3:M160,"1")=0,10^9,LOOKUP(2,1/($M$3:M160="1"),ROW($M$3:M160))),IF(COUNTIF($M$3:M160,"2")=0,10^9,LOOKUP(2,1/($M$3:M160="2"),ROW($M$3:M160))),IF(COUNTIF($M$3:M160,"3")=0,10^9,LOOKUP(2,1/($M$3:M160="3"),ROW($M$3:M160))),IF(COUNTIF($M$3:M160,"4")=0,10^9,LOOKUP(2,1/($M$3:M160="4"),ROW($M$3:M160))),IF(COUNTIF($M$3:M160,"5")=0,10^9,LOOKUP(2,1/($M$3:M160="5"),ROW($M$3:M160))),IF(COUNTIF($M$3:M160,"6")=0,10^9,LOOKUP(2,1/($M$3:M160="6"),ROW($M$3:M160))),IF(COUNTIF($M$3:M160,"7")=0,10^9,LOOKUP(2,1/($M$3:M160="7"),ROW($M$3:M160))),IF(COUNTIF($M$3:M160,"8")=0,10^9,LOOKUP(2,1/($M$3:M160="8"),ROW($M$3:M160))),IF(COUNTIF($M$3:M160,"9")=0,10^9,LOOKUP(2,1/($M$3:M160="9"),ROW($M$3:M160))))-ROW($M$3)+1),"")),AND(N161&lt;&gt;"",N161=IFERROR(INDEX($N$3:N160,MIN(IF(COUNTIF($N$3:N160,"鼠")=0,10^9,LOOKUP(2,1/($N$3:N160="鼠"),ROW($N$3:N160))),IF(COUNTIF($N$3:N160,"牛")=0,10^9,LOOKUP(2,1/($N$3:N160="牛"),ROW($N$3:N160))),IF(COUNTIF($N$3:N160,"虎")=0,10^9,LOOKUP(2,1/($N$3:N160="虎"),ROW($N$3:N160))),IF(COUNTIF($N$3:N160,"兔")=0,10^9,LOOKUP(2,1/($N$3:N160="兔"),ROW($N$3:N160))),IF(COUNTIF($N$3:N160,"龙")=0,10^9,LOOKUP(2,1/($N$3:N160="龙"),ROW($N$3:N160))),IF(COUNTIF($N$3:N160,"蛇")=0,10^9,LOOKUP(2,1/($N$3:N160="蛇"),ROW($N$3:N160))),IF(COUNTIF($N$3:N160,"马")=0,10^9,LOOKUP(2,1/($N$3:N160="马"),ROW($N$3:N160))),IF(COUNTIF($N$3:N160,"羊")=0,10^9,LOOKUP(2,1/($N$3:N160="羊"),ROW($N$3:N160))),IF(COUNTIF($N$3:N160,"猴")=0,10^9,LOOKUP(2,1/($N$3:N160="猴"),ROW($N$3:N160))),IF(COUNTIF($N$3:N160,"鸡")=0,10^9,LOOKUP(2,1/($N$3:N160="鸡"),ROW($N$3:N160))),IF(COUNTIF($N$3:N160,"狗")=0,10^9,LOOKUP(2,1/($N$3:N160="狗"),ROW($N$3:N160))),IF(COUNTIF($N$3:N160,"猪")=0,10^9,LOOKUP(2,1/($N$3:N160="猪"),ROW($N$3:N160))))-ROW($N$3)+1),""))),0,IF(ISNUMBER(J160),J160+1,1)))</f>
        <v/>
      </c>
      <c r="K161" s="5" t="e">
        <f t="shared" si="18"/>
        <v>#N/A</v>
      </c>
      <c r="M161" s="6" t="str">
        <f t="shared" si="14"/>
        <v/>
      </c>
      <c r="N161" s="2" t="e">
        <f t="shared" si="15"/>
        <v>#N/A</v>
      </c>
      <c r="O161" s="7" t="str">
        <f>IF(M161="","",IF(COUNTIF(M162:$M$1000,M161)&gt;0,"",M161))</f>
        <v/>
      </c>
      <c r="P161" s="8" t="e">
        <f>IF(N161="","",IF(COUNTIF(N162:$N$1000,N161)&gt;0,"",N161))</f>
        <v>#N/A</v>
      </c>
      <c r="Q161" s="21" t="e">
        <f t="shared" si="16"/>
        <v>#NUM!</v>
      </c>
      <c r="R161" s="22" t="e">
        <f t="shared" si="17"/>
        <v>#NUM!</v>
      </c>
      <c r="X161" s="2"/>
      <c r="Y161" s="2"/>
    </row>
    <row r="162" s="1" customFormat="1" spans="1:25">
      <c r="A162" s="2">
        <v>115056797</v>
      </c>
      <c r="B162" s="2"/>
      <c r="C162" s="2"/>
      <c r="D162" s="2"/>
      <c r="E162" s="2"/>
      <c r="F162" s="2"/>
      <c r="G162" s="2"/>
      <c r="H162" s="3"/>
      <c r="I162" s="2" t="e">
        <f t="shared" si="13"/>
        <v>#N/A</v>
      </c>
      <c r="J162" s="4" t="str">
        <f>IF(H162="","",IF(OR(AND(M162&lt;&gt;"",M162=IFERROR(INDEX($M$3:M161,MIN(IF(COUNTIF($M$3:M161,"0")=0,10^9,LOOKUP(2,1/($M$3:M161="0"),ROW($M$3:M161))),IF(COUNTIF($M$3:M161,"1")=0,10^9,LOOKUP(2,1/($M$3:M161="1"),ROW($M$3:M161))),IF(COUNTIF($M$3:M161,"2")=0,10^9,LOOKUP(2,1/($M$3:M161="2"),ROW($M$3:M161))),IF(COUNTIF($M$3:M161,"3")=0,10^9,LOOKUP(2,1/($M$3:M161="3"),ROW($M$3:M161))),IF(COUNTIF($M$3:M161,"4")=0,10^9,LOOKUP(2,1/($M$3:M161="4"),ROW($M$3:M161))),IF(COUNTIF($M$3:M161,"5")=0,10^9,LOOKUP(2,1/($M$3:M161="5"),ROW($M$3:M161))),IF(COUNTIF($M$3:M161,"6")=0,10^9,LOOKUP(2,1/($M$3:M161="6"),ROW($M$3:M161))),IF(COUNTIF($M$3:M161,"7")=0,10^9,LOOKUP(2,1/($M$3:M161="7"),ROW($M$3:M161))),IF(COUNTIF($M$3:M161,"8")=0,10^9,LOOKUP(2,1/($M$3:M161="8"),ROW($M$3:M161))),IF(COUNTIF($M$3:M161,"9")=0,10^9,LOOKUP(2,1/($M$3:M161="9"),ROW($M$3:M161))))-ROW($M$3)+1),"")),AND(N162&lt;&gt;"",N162=IFERROR(INDEX($N$3:N161,MIN(IF(COUNTIF($N$3:N161,"鼠")=0,10^9,LOOKUP(2,1/($N$3:N161="鼠"),ROW($N$3:N161))),IF(COUNTIF($N$3:N161,"牛")=0,10^9,LOOKUP(2,1/($N$3:N161="牛"),ROW($N$3:N161))),IF(COUNTIF($N$3:N161,"虎")=0,10^9,LOOKUP(2,1/($N$3:N161="虎"),ROW($N$3:N161))),IF(COUNTIF($N$3:N161,"兔")=0,10^9,LOOKUP(2,1/($N$3:N161="兔"),ROW($N$3:N161))),IF(COUNTIF($N$3:N161,"龙")=0,10^9,LOOKUP(2,1/($N$3:N161="龙"),ROW($N$3:N161))),IF(COUNTIF($N$3:N161,"蛇")=0,10^9,LOOKUP(2,1/($N$3:N161="蛇"),ROW($N$3:N161))),IF(COUNTIF($N$3:N161,"马")=0,10^9,LOOKUP(2,1/($N$3:N161="马"),ROW($N$3:N161))),IF(COUNTIF($N$3:N161,"羊")=0,10^9,LOOKUP(2,1/($N$3:N161="羊"),ROW($N$3:N161))),IF(COUNTIF($N$3:N161,"猴")=0,10^9,LOOKUP(2,1/($N$3:N161="猴"),ROW($N$3:N161))),IF(COUNTIF($N$3:N161,"鸡")=0,10^9,LOOKUP(2,1/($N$3:N161="鸡"),ROW($N$3:N161))),IF(COUNTIF($N$3:N161,"狗")=0,10^9,LOOKUP(2,1/($N$3:N161="狗"),ROW($N$3:N161))),IF(COUNTIF($N$3:N161,"猪")=0,10^9,LOOKUP(2,1/($N$3:N161="猪"),ROW($N$3:N161))))-ROW($N$3)+1),""))),0,IF(ISNUMBER(J161),J161+1,1)))</f>
        <v/>
      </c>
      <c r="K162" s="5" t="e">
        <f t="shared" si="18"/>
        <v>#N/A</v>
      </c>
      <c r="M162" s="6" t="str">
        <f t="shared" si="14"/>
        <v/>
      </c>
      <c r="N162" s="2" t="e">
        <f t="shared" si="15"/>
        <v>#N/A</v>
      </c>
      <c r="O162" s="7" t="str">
        <f>IF(M162="","",IF(COUNTIF(M163:$M$1000,M162)&gt;0,"",M162))</f>
        <v/>
      </c>
      <c r="P162" s="8" t="e">
        <f>IF(N162="","",IF(COUNTIF(N163:$N$1000,N162)&gt;0,"",N162))</f>
        <v>#N/A</v>
      </c>
      <c r="Q162" s="21" t="e">
        <f t="shared" si="16"/>
        <v>#NUM!</v>
      </c>
      <c r="R162" s="22" t="e">
        <f t="shared" si="17"/>
        <v>#NUM!</v>
      </c>
      <c r="X162" s="2"/>
      <c r="Y162" s="2"/>
    </row>
    <row r="163" s="1" customFormat="1" spans="1:25">
      <c r="A163" s="2">
        <v>115056798</v>
      </c>
      <c r="B163" s="2"/>
      <c r="C163" s="2"/>
      <c r="D163" s="2"/>
      <c r="E163" s="2"/>
      <c r="F163" s="2"/>
      <c r="G163" s="2"/>
      <c r="H163" s="3"/>
      <c r="I163" s="2" t="e">
        <f t="shared" si="13"/>
        <v>#N/A</v>
      </c>
      <c r="J163" s="4" t="str">
        <f>IF(H163="","",IF(OR(AND(M163&lt;&gt;"",M163=IFERROR(INDEX($M$3:M162,MIN(IF(COUNTIF($M$3:M162,"0")=0,10^9,LOOKUP(2,1/($M$3:M162="0"),ROW($M$3:M162))),IF(COUNTIF($M$3:M162,"1")=0,10^9,LOOKUP(2,1/($M$3:M162="1"),ROW($M$3:M162))),IF(COUNTIF($M$3:M162,"2")=0,10^9,LOOKUP(2,1/($M$3:M162="2"),ROW($M$3:M162))),IF(COUNTIF($M$3:M162,"3")=0,10^9,LOOKUP(2,1/($M$3:M162="3"),ROW($M$3:M162))),IF(COUNTIF($M$3:M162,"4")=0,10^9,LOOKUP(2,1/($M$3:M162="4"),ROW($M$3:M162))),IF(COUNTIF($M$3:M162,"5")=0,10^9,LOOKUP(2,1/($M$3:M162="5"),ROW($M$3:M162))),IF(COUNTIF($M$3:M162,"6")=0,10^9,LOOKUP(2,1/($M$3:M162="6"),ROW($M$3:M162))),IF(COUNTIF($M$3:M162,"7")=0,10^9,LOOKUP(2,1/($M$3:M162="7"),ROW($M$3:M162))),IF(COUNTIF($M$3:M162,"8")=0,10^9,LOOKUP(2,1/($M$3:M162="8"),ROW($M$3:M162))),IF(COUNTIF($M$3:M162,"9")=0,10^9,LOOKUP(2,1/($M$3:M162="9"),ROW($M$3:M162))))-ROW($M$3)+1),"")),AND(N163&lt;&gt;"",N163=IFERROR(INDEX($N$3:N162,MIN(IF(COUNTIF($N$3:N162,"鼠")=0,10^9,LOOKUP(2,1/($N$3:N162="鼠"),ROW($N$3:N162))),IF(COUNTIF($N$3:N162,"牛")=0,10^9,LOOKUP(2,1/($N$3:N162="牛"),ROW($N$3:N162))),IF(COUNTIF($N$3:N162,"虎")=0,10^9,LOOKUP(2,1/($N$3:N162="虎"),ROW($N$3:N162))),IF(COUNTIF($N$3:N162,"兔")=0,10^9,LOOKUP(2,1/($N$3:N162="兔"),ROW($N$3:N162))),IF(COUNTIF($N$3:N162,"龙")=0,10^9,LOOKUP(2,1/($N$3:N162="龙"),ROW($N$3:N162))),IF(COUNTIF($N$3:N162,"蛇")=0,10^9,LOOKUP(2,1/($N$3:N162="蛇"),ROW($N$3:N162))),IF(COUNTIF($N$3:N162,"马")=0,10^9,LOOKUP(2,1/($N$3:N162="马"),ROW($N$3:N162))),IF(COUNTIF($N$3:N162,"羊")=0,10^9,LOOKUP(2,1/($N$3:N162="羊"),ROW($N$3:N162))),IF(COUNTIF($N$3:N162,"猴")=0,10^9,LOOKUP(2,1/($N$3:N162="猴"),ROW($N$3:N162))),IF(COUNTIF($N$3:N162,"鸡")=0,10^9,LOOKUP(2,1/($N$3:N162="鸡"),ROW($N$3:N162))),IF(COUNTIF($N$3:N162,"狗")=0,10^9,LOOKUP(2,1/($N$3:N162="狗"),ROW($N$3:N162))),IF(COUNTIF($N$3:N162,"猪")=0,10^9,LOOKUP(2,1/($N$3:N162="猪"),ROW($N$3:N162))))-ROW($N$3)+1),""))),0,IF(ISNUMBER(J162),J162+1,1)))</f>
        <v/>
      </c>
      <c r="K163" s="5" t="e">
        <f t="shared" si="18"/>
        <v>#N/A</v>
      </c>
      <c r="M163" s="6" t="str">
        <f t="shared" si="14"/>
        <v/>
      </c>
      <c r="N163" s="2" t="e">
        <f t="shared" si="15"/>
        <v>#N/A</v>
      </c>
      <c r="O163" s="7" t="str">
        <f>IF(M163="","",IF(COUNTIF(M164:$M$1000,M163)&gt;0,"",M163))</f>
        <v/>
      </c>
      <c r="P163" s="8" t="e">
        <f>IF(N163="","",IF(COUNTIF(N164:$N$1000,N163)&gt;0,"",N163))</f>
        <v>#N/A</v>
      </c>
      <c r="Q163" s="21" t="e">
        <f t="shared" si="16"/>
        <v>#NUM!</v>
      </c>
      <c r="R163" s="22" t="e">
        <f t="shared" si="17"/>
        <v>#NUM!</v>
      </c>
      <c r="X163" s="2"/>
      <c r="Y163" s="2"/>
    </row>
    <row r="164" s="1" customFormat="1" spans="1:25">
      <c r="A164" s="2">
        <v>115056799</v>
      </c>
      <c r="B164" s="2"/>
      <c r="C164" s="2"/>
      <c r="D164" s="2"/>
      <c r="E164" s="2"/>
      <c r="F164" s="2"/>
      <c r="G164" s="2"/>
      <c r="H164" s="3"/>
      <c r="I164" s="2" t="e">
        <f t="shared" si="13"/>
        <v>#N/A</v>
      </c>
      <c r="J164" s="4" t="str">
        <f>IF(H164="","",IF(OR(AND(M164&lt;&gt;"",M164=IFERROR(INDEX($M$3:M163,MIN(IF(COUNTIF($M$3:M163,"0")=0,10^9,LOOKUP(2,1/($M$3:M163="0"),ROW($M$3:M163))),IF(COUNTIF($M$3:M163,"1")=0,10^9,LOOKUP(2,1/($M$3:M163="1"),ROW($M$3:M163))),IF(COUNTIF($M$3:M163,"2")=0,10^9,LOOKUP(2,1/($M$3:M163="2"),ROW($M$3:M163))),IF(COUNTIF($M$3:M163,"3")=0,10^9,LOOKUP(2,1/($M$3:M163="3"),ROW($M$3:M163))),IF(COUNTIF($M$3:M163,"4")=0,10^9,LOOKUP(2,1/($M$3:M163="4"),ROW($M$3:M163))),IF(COUNTIF($M$3:M163,"5")=0,10^9,LOOKUP(2,1/($M$3:M163="5"),ROW($M$3:M163))),IF(COUNTIF($M$3:M163,"6")=0,10^9,LOOKUP(2,1/($M$3:M163="6"),ROW($M$3:M163))),IF(COUNTIF($M$3:M163,"7")=0,10^9,LOOKUP(2,1/($M$3:M163="7"),ROW($M$3:M163))),IF(COUNTIF($M$3:M163,"8")=0,10^9,LOOKUP(2,1/($M$3:M163="8"),ROW($M$3:M163))),IF(COUNTIF($M$3:M163,"9")=0,10^9,LOOKUP(2,1/($M$3:M163="9"),ROW($M$3:M163))))-ROW($M$3)+1),"")),AND(N164&lt;&gt;"",N164=IFERROR(INDEX($N$3:N163,MIN(IF(COUNTIF($N$3:N163,"鼠")=0,10^9,LOOKUP(2,1/($N$3:N163="鼠"),ROW($N$3:N163))),IF(COUNTIF($N$3:N163,"牛")=0,10^9,LOOKUP(2,1/($N$3:N163="牛"),ROW($N$3:N163))),IF(COUNTIF($N$3:N163,"虎")=0,10^9,LOOKUP(2,1/($N$3:N163="虎"),ROW($N$3:N163))),IF(COUNTIF($N$3:N163,"兔")=0,10^9,LOOKUP(2,1/($N$3:N163="兔"),ROW($N$3:N163))),IF(COUNTIF($N$3:N163,"龙")=0,10^9,LOOKUP(2,1/($N$3:N163="龙"),ROW($N$3:N163))),IF(COUNTIF($N$3:N163,"蛇")=0,10^9,LOOKUP(2,1/($N$3:N163="蛇"),ROW($N$3:N163))),IF(COUNTIF($N$3:N163,"马")=0,10^9,LOOKUP(2,1/($N$3:N163="马"),ROW($N$3:N163))),IF(COUNTIF($N$3:N163,"羊")=0,10^9,LOOKUP(2,1/($N$3:N163="羊"),ROW($N$3:N163))),IF(COUNTIF($N$3:N163,"猴")=0,10^9,LOOKUP(2,1/($N$3:N163="猴"),ROW($N$3:N163))),IF(COUNTIF($N$3:N163,"鸡")=0,10^9,LOOKUP(2,1/($N$3:N163="鸡"),ROW($N$3:N163))),IF(COUNTIF($N$3:N163,"狗")=0,10^9,LOOKUP(2,1/($N$3:N163="狗"),ROW($N$3:N163))),IF(COUNTIF($N$3:N163,"猪")=0,10^9,LOOKUP(2,1/($N$3:N163="猪"),ROW($N$3:N163))))-ROW($N$3)+1),""))),0,IF(ISNUMBER(J163),J163+1,1)))</f>
        <v/>
      </c>
      <c r="K164" s="5" t="e">
        <f t="shared" si="18"/>
        <v>#N/A</v>
      </c>
      <c r="M164" s="6" t="str">
        <f t="shared" si="14"/>
        <v/>
      </c>
      <c r="N164" s="2" t="e">
        <f t="shared" si="15"/>
        <v>#N/A</v>
      </c>
      <c r="O164" s="7" t="str">
        <f>IF(M164="","",IF(COUNTIF(M165:$M$1000,M164)&gt;0,"",M164))</f>
        <v/>
      </c>
      <c r="P164" s="8" t="e">
        <f>IF(N164="","",IF(COUNTIF(N165:$N$1000,N164)&gt;0,"",N164))</f>
        <v>#N/A</v>
      </c>
      <c r="Q164" s="21" t="e">
        <f t="shared" si="16"/>
        <v>#NUM!</v>
      </c>
      <c r="R164" s="22" t="e">
        <f t="shared" si="17"/>
        <v>#NUM!</v>
      </c>
      <c r="X164" s="2"/>
      <c r="Y164" s="2"/>
    </row>
    <row r="165" s="1" customFormat="1" spans="1:25">
      <c r="A165" s="2">
        <v>115056800</v>
      </c>
      <c r="B165" s="2"/>
      <c r="C165" s="2"/>
      <c r="D165" s="2"/>
      <c r="E165" s="2"/>
      <c r="F165" s="2"/>
      <c r="G165" s="2"/>
      <c r="H165" s="3"/>
      <c r="I165" s="2" t="e">
        <f t="shared" si="13"/>
        <v>#N/A</v>
      </c>
      <c r="J165" s="4" t="str">
        <f>IF(H165="","",IF(OR(AND(M165&lt;&gt;"",M165=IFERROR(INDEX($M$3:M164,MIN(IF(COUNTIF($M$3:M164,"0")=0,10^9,LOOKUP(2,1/($M$3:M164="0"),ROW($M$3:M164))),IF(COUNTIF($M$3:M164,"1")=0,10^9,LOOKUP(2,1/($M$3:M164="1"),ROW($M$3:M164))),IF(COUNTIF($M$3:M164,"2")=0,10^9,LOOKUP(2,1/($M$3:M164="2"),ROW($M$3:M164))),IF(COUNTIF($M$3:M164,"3")=0,10^9,LOOKUP(2,1/($M$3:M164="3"),ROW($M$3:M164))),IF(COUNTIF($M$3:M164,"4")=0,10^9,LOOKUP(2,1/($M$3:M164="4"),ROW($M$3:M164))),IF(COUNTIF($M$3:M164,"5")=0,10^9,LOOKUP(2,1/($M$3:M164="5"),ROW($M$3:M164))),IF(COUNTIF($M$3:M164,"6")=0,10^9,LOOKUP(2,1/($M$3:M164="6"),ROW($M$3:M164))),IF(COUNTIF($M$3:M164,"7")=0,10^9,LOOKUP(2,1/($M$3:M164="7"),ROW($M$3:M164))),IF(COUNTIF($M$3:M164,"8")=0,10^9,LOOKUP(2,1/($M$3:M164="8"),ROW($M$3:M164))),IF(COUNTIF($M$3:M164,"9")=0,10^9,LOOKUP(2,1/($M$3:M164="9"),ROW($M$3:M164))))-ROW($M$3)+1),"")),AND(N165&lt;&gt;"",N165=IFERROR(INDEX($N$3:N164,MIN(IF(COUNTIF($N$3:N164,"鼠")=0,10^9,LOOKUP(2,1/($N$3:N164="鼠"),ROW($N$3:N164))),IF(COUNTIF($N$3:N164,"牛")=0,10^9,LOOKUP(2,1/($N$3:N164="牛"),ROW($N$3:N164))),IF(COUNTIF($N$3:N164,"虎")=0,10^9,LOOKUP(2,1/($N$3:N164="虎"),ROW($N$3:N164))),IF(COUNTIF($N$3:N164,"兔")=0,10^9,LOOKUP(2,1/($N$3:N164="兔"),ROW($N$3:N164))),IF(COUNTIF($N$3:N164,"龙")=0,10^9,LOOKUP(2,1/($N$3:N164="龙"),ROW($N$3:N164))),IF(COUNTIF($N$3:N164,"蛇")=0,10^9,LOOKUP(2,1/($N$3:N164="蛇"),ROW($N$3:N164))),IF(COUNTIF($N$3:N164,"马")=0,10^9,LOOKUP(2,1/($N$3:N164="马"),ROW($N$3:N164))),IF(COUNTIF($N$3:N164,"羊")=0,10^9,LOOKUP(2,1/($N$3:N164="羊"),ROW($N$3:N164))),IF(COUNTIF($N$3:N164,"猴")=0,10^9,LOOKUP(2,1/($N$3:N164="猴"),ROW($N$3:N164))),IF(COUNTIF($N$3:N164,"鸡")=0,10^9,LOOKUP(2,1/($N$3:N164="鸡"),ROW($N$3:N164))),IF(COUNTIF($N$3:N164,"狗")=0,10^9,LOOKUP(2,1/($N$3:N164="狗"),ROW($N$3:N164))),IF(COUNTIF($N$3:N164,"猪")=0,10^9,LOOKUP(2,1/($N$3:N164="猪"),ROW($N$3:N164))))-ROW($N$3)+1),""))),0,IF(ISNUMBER(J164),J164+1,1)))</f>
        <v/>
      </c>
      <c r="K165" s="5" t="e">
        <f t="shared" si="18"/>
        <v>#N/A</v>
      </c>
      <c r="M165" s="6" t="str">
        <f t="shared" si="14"/>
        <v/>
      </c>
      <c r="N165" s="2" t="e">
        <f t="shared" si="15"/>
        <v>#N/A</v>
      </c>
      <c r="O165" s="7" t="str">
        <f>IF(M165="","",IF(COUNTIF(M166:$M$1000,M165)&gt;0,"",M165))</f>
        <v/>
      </c>
      <c r="P165" s="8" t="e">
        <f>IF(N165="","",IF(COUNTIF(N166:$N$1000,N165)&gt;0,"",N165))</f>
        <v>#N/A</v>
      </c>
      <c r="Q165" s="21" t="e">
        <f t="shared" si="16"/>
        <v>#NUM!</v>
      </c>
      <c r="R165" s="22" t="e">
        <f t="shared" si="17"/>
        <v>#NUM!</v>
      </c>
      <c r="X165" s="2"/>
      <c r="Y165" s="2"/>
    </row>
    <row r="166" s="1" customFormat="1" spans="1:25">
      <c r="A166" s="2">
        <v>115056801</v>
      </c>
      <c r="B166" s="2"/>
      <c r="C166" s="2"/>
      <c r="D166" s="2"/>
      <c r="E166" s="2"/>
      <c r="F166" s="2"/>
      <c r="G166" s="2"/>
      <c r="H166" s="3"/>
      <c r="I166" s="2" t="e">
        <f t="shared" si="13"/>
        <v>#N/A</v>
      </c>
      <c r="J166" s="4" t="str">
        <f>IF(H166="","",IF(OR(AND(M166&lt;&gt;"",M166=IFERROR(INDEX($M$3:M165,MIN(IF(COUNTIF($M$3:M165,"0")=0,10^9,LOOKUP(2,1/($M$3:M165="0"),ROW($M$3:M165))),IF(COUNTIF($M$3:M165,"1")=0,10^9,LOOKUP(2,1/($M$3:M165="1"),ROW($M$3:M165))),IF(COUNTIF($M$3:M165,"2")=0,10^9,LOOKUP(2,1/($M$3:M165="2"),ROW($M$3:M165))),IF(COUNTIF($M$3:M165,"3")=0,10^9,LOOKUP(2,1/($M$3:M165="3"),ROW($M$3:M165))),IF(COUNTIF($M$3:M165,"4")=0,10^9,LOOKUP(2,1/($M$3:M165="4"),ROW($M$3:M165))),IF(COUNTIF($M$3:M165,"5")=0,10^9,LOOKUP(2,1/($M$3:M165="5"),ROW($M$3:M165))),IF(COUNTIF($M$3:M165,"6")=0,10^9,LOOKUP(2,1/($M$3:M165="6"),ROW($M$3:M165))),IF(COUNTIF($M$3:M165,"7")=0,10^9,LOOKUP(2,1/($M$3:M165="7"),ROW($M$3:M165))),IF(COUNTIF($M$3:M165,"8")=0,10^9,LOOKUP(2,1/($M$3:M165="8"),ROW($M$3:M165))),IF(COUNTIF($M$3:M165,"9")=0,10^9,LOOKUP(2,1/($M$3:M165="9"),ROW($M$3:M165))))-ROW($M$3)+1),"")),AND(N166&lt;&gt;"",N166=IFERROR(INDEX($N$3:N165,MIN(IF(COUNTIF($N$3:N165,"鼠")=0,10^9,LOOKUP(2,1/($N$3:N165="鼠"),ROW($N$3:N165))),IF(COUNTIF($N$3:N165,"牛")=0,10^9,LOOKUP(2,1/($N$3:N165="牛"),ROW($N$3:N165))),IF(COUNTIF($N$3:N165,"虎")=0,10^9,LOOKUP(2,1/($N$3:N165="虎"),ROW($N$3:N165))),IF(COUNTIF($N$3:N165,"兔")=0,10^9,LOOKUP(2,1/($N$3:N165="兔"),ROW($N$3:N165))),IF(COUNTIF($N$3:N165,"龙")=0,10^9,LOOKUP(2,1/($N$3:N165="龙"),ROW($N$3:N165))),IF(COUNTIF($N$3:N165,"蛇")=0,10^9,LOOKUP(2,1/($N$3:N165="蛇"),ROW($N$3:N165))),IF(COUNTIF($N$3:N165,"马")=0,10^9,LOOKUP(2,1/($N$3:N165="马"),ROW($N$3:N165))),IF(COUNTIF($N$3:N165,"羊")=0,10^9,LOOKUP(2,1/($N$3:N165="羊"),ROW($N$3:N165))),IF(COUNTIF($N$3:N165,"猴")=0,10^9,LOOKUP(2,1/($N$3:N165="猴"),ROW($N$3:N165))),IF(COUNTIF($N$3:N165,"鸡")=0,10^9,LOOKUP(2,1/($N$3:N165="鸡"),ROW($N$3:N165))),IF(COUNTIF($N$3:N165,"狗")=0,10^9,LOOKUP(2,1/($N$3:N165="狗"),ROW($N$3:N165))),IF(COUNTIF($N$3:N165,"猪")=0,10^9,LOOKUP(2,1/($N$3:N165="猪"),ROW($N$3:N165))))-ROW($N$3)+1),""))),0,IF(ISNUMBER(J165),J165+1,1)))</f>
        <v/>
      </c>
      <c r="K166" s="5" t="e">
        <f t="shared" si="18"/>
        <v>#N/A</v>
      </c>
      <c r="M166" s="6" t="str">
        <f t="shared" si="14"/>
        <v/>
      </c>
      <c r="N166" s="2" t="e">
        <f t="shared" si="15"/>
        <v>#N/A</v>
      </c>
      <c r="O166" s="7" t="str">
        <f>IF(M166="","",IF(COUNTIF(M167:$M$1000,M166)&gt;0,"",M166))</f>
        <v/>
      </c>
      <c r="P166" s="8" t="e">
        <f>IF(N166="","",IF(COUNTIF(N167:$N$1000,N166)&gt;0,"",N166))</f>
        <v>#N/A</v>
      </c>
      <c r="Q166" s="21" t="e">
        <f t="shared" si="16"/>
        <v>#NUM!</v>
      </c>
      <c r="R166" s="22" t="e">
        <f t="shared" si="17"/>
        <v>#NUM!</v>
      </c>
      <c r="X166" s="2"/>
      <c r="Y166" s="2"/>
    </row>
    <row r="167" s="1" customFormat="1" spans="1:25">
      <c r="A167" s="2">
        <v>115056802</v>
      </c>
      <c r="B167" s="2"/>
      <c r="C167" s="2"/>
      <c r="D167" s="2"/>
      <c r="E167" s="2"/>
      <c r="F167" s="2"/>
      <c r="G167" s="2"/>
      <c r="H167" s="3"/>
      <c r="I167" s="2" t="e">
        <f t="shared" si="13"/>
        <v>#N/A</v>
      </c>
      <c r="J167" s="4" t="str">
        <f>IF(H167="","",IF(OR(AND(M167&lt;&gt;"",M167=IFERROR(INDEX($M$3:M166,MIN(IF(COUNTIF($M$3:M166,"0")=0,10^9,LOOKUP(2,1/($M$3:M166="0"),ROW($M$3:M166))),IF(COUNTIF($M$3:M166,"1")=0,10^9,LOOKUP(2,1/($M$3:M166="1"),ROW($M$3:M166))),IF(COUNTIF($M$3:M166,"2")=0,10^9,LOOKUP(2,1/($M$3:M166="2"),ROW($M$3:M166))),IF(COUNTIF($M$3:M166,"3")=0,10^9,LOOKUP(2,1/($M$3:M166="3"),ROW($M$3:M166))),IF(COUNTIF($M$3:M166,"4")=0,10^9,LOOKUP(2,1/($M$3:M166="4"),ROW($M$3:M166))),IF(COUNTIF($M$3:M166,"5")=0,10^9,LOOKUP(2,1/($M$3:M166="5"),ROW($M$3:M166))),IF(COUNTIF($M$3:M166,"6")=0,10^9,LOOKUP(2,1/($M$3:M166="6"),ROW($M$3:M166))),IF(COUNTIF($M$3:M166,"7")=0,10^9,LOOKUP(2,1/($M$3:M166="7"),ROW($M$3:M166))),IF(COUNTIF($M$3:M166,"8")=0,10^9,LOOKUP(2,1/($M$3:M166="8"),ROW($M$3:M166))),IF(COUNTIF($M$3:M166,"9")=0,10^9,LOOKUP(2,1/($M$3:M166="9"),ROW($M$3:M166))))-ROW($M$3)+1),"")),AND(N167&lt;&gt;"",N167=IFERROR(INDEX($N$3:N166,MIN(IF(COUNTIF($N$3:N166,"鼠")=0,10^9,LOOKUP(2,1/($N$3:N166="鼠"),ROW($N$3:N166))),IF(COUNTIF($N$3:N166,"牛")=0,10^9,LOOKUP(2,1/($N$3:N166="牛"),ROW($N$3:N166))),IF(COUNTIF($N$3:N166,"虎")=0,10^9,LOOKUP(2,1/($N$3:N166="虎"),ROW($N$3:N166))),IF(COUNTIF($N$3:N166,"兔")=0,10^9,LOOKUP(2,1/($N$3:N166="兔"),ROW($N$3:N166))),IF(COUNTIF($N$3:N166,"龙")=0,10^9,LOOKUP(2,1/($N$3:N166="龙"),ROW($N$3:N166))),IF(COUNTIF($N$3:N166,"蛇")=0,10^9,LOOKUP(2,1/($N$3:N166="蛇"),ROW($N$3:N166))),IF(COUNTIF($N$3:N166,"马")=0,10^9,LOOKUP(2,1/($N$3:N166="马"),ROW($N$3:N166))),IF(COUNTIF($N$3:N166,"羊")=0,10^9,LOOKUP(2,1/($N$3:N166="羊"),ROW($N$3:N166))),IF(COUNTIF($N$3:N166,"猴")=0,10^9,LOOKUP(2,1/($N$3:N166="猴"),ROW($N$3:N166))),IF(COUNTIF($N$3:N166,"鸡")=0,10^9,LOOKUP(2,1/($N$3:N166="鸡"),ROW($N$3:N166))),IF(COUNTIF($N$3:N166,"狗")=0,10^9,LOOKUP(2,1/($N$3:N166="狗"),ROW($N$3:N166))),IF(COUNTIF($N$3:N166,"猪")=0,10^9,LOOKUP(2,1/($N$3:N166="猪"),ROW($N$3:N166))))-ROW($N$3)+1),""))),0,IF(ISNUMBER(J166),J166+1,1)))</f>
        <v/>
      </c>
      <c r="K167" s="5" t="e">
        <f t="shared" si="18"/>
        <v>#N/A</v>
      </c>
      <c r="M167" s="6" t="str">
        <f t="shared" si="14"/>
        <v/>
      </c>
      <c r="N167" s="2" t="e">
        <f t="shared" si="15"/>
        <v>#N/A</v>
      </c>
      <c r="O167" s="7" t="str">
        <f>IF(M167="","",IF(COUNTIF(M168:$M$1000,M167)&gt;0,"",M167))</f>
        <v/>
      </c>
      <c r="P167" s="8" t="e">
        <f>IF(N167="","",IF(COUNTIF(N168:$N$1000,N167)&gt;0,"",N167))</f>
        <v>#N/A</v>
      </c>
      <c r="Q167" s="21" t="e">
        <f t="shared" si="16"/>
        <v>#NUM!</v>
      </c>
      <c r="R167" s="22" t="e">
        <f t="shared" si="17"/>
        <v>#NUM!</v>
      </c>
      <c r="X167" s="2"/>
      <c r="Y167" s="2"/>
    </row>
    <row r="168" s="1" customFormat="1" spans="1:25">
      <c r="A168" s="2">
        <v>115056803</v>
      </c>
      <c r="B168" s="2"/>
      <c r="C168" s="2"/>
      <c r="D168" s="2"/>
      <c r="E168" s="2"/>
      <c r="F168" s="2"/>
      <c r="G168" s="2"/>
      <c r="H168" s="3"/>
      <c r="I168" s="2" t="e">
        <f t="shared" si="13"/>
        <v>#N/A</v>
      </c>
      <c r="J168" s="4" t="str">
        <f>IF(H168="","",IF(OR(AND(M168&lt;&gt;"",M168=IFERROR(INDEX($M$3:M167,MIN(IF(COUNTIF($M$3:M167,"0")=0,10^9,LOOKUP(2,1/($M$3:M167="0"),ROW($M$3:M167))),IF(COUNTIF($M$3:M167,"1")=0,10^9,LOOKUP(2,1/($M$3:M167="1"),ROW($M$3:M167))),IF(COUNTIF($M$3:M167,"2")=0,10^9,LOOKUP(2,1/($M$3:M167="2"),ROW($M$3:M167))),IF(COUNTIF($M$3:M167,"3")=0,10^9,LOOKUP(2,1/($M$3:M167="3"),ROW($M$3:M167))),IF(COUNTIF($M$3:M167,"4")=0,10^9,LOOKUP(2,1/($M$3:M167="4"),ROW($M$3:M167))),IF(COUNTIF($M$3:M167,"5")=0,10^9,LOOKUP(2,1/($M$3:M167="5"),ROW($M$3:M167))),IF(COUNTIF($M$3:M167,"6")=0,10^9,LOOKUP(2,1/($M$3:M167="6"),ROW($M$3:M167))),IF(COUNTIF($M$3:M167,"7")=0,10^9,LOOKUP(2,1/($M$3:M167="7"),ROW($M$3:M167))),IF(COUNTIF($M$3:M167,"8")=0,10^9,LOOKUP(2,1/($M$3:M167="8"),ROW($M$3:M167))),IF(COUNTIF($M$3:M167,"9")=0,10^9,LOOKUP(2,1/($M$3:M167="9"),ROW($M$3:M167))))-ROW($M$3)+1),"")),AND(N168&lt;&gt;"",N168=IFERROR(INDEX($N$3:N167,MIN(IF(COUNTIF($N$3:N167,"鼠")=0,10^9,LOOKUP(2,1/($N$3:N167="鼠"),ROW($N$3:N167))),IF(COUNTIF($N$3:N167,"牛")=0,10^9,LOOKUP(2,1/($N$3:N167="牛"),ROW($N$3:N167))),IF(COUNTIF($N$3:N167,"虎")=0,10^9,LOOKUP(2,1/($N$3:N167="虎"),ROW($N$3:N167))),IF(COUNTIF($N$3:N167,"兔")=0,10^9,LOOKUP(2,1/($N$3:N167="兔"),ROW($N$3:N167))),IF(COUNTIF($N$3:N167,"龙")=0,10^9,LOOKUP(2,1/($N$3:N167="龙"),ROW($N$3:N167))),IF(COUNTIF($N$3:N167,"蛇")=0,10^9,LOOKUP(2,1/($N$3:N167="蛇"),ROW($N$3:N167))),IF(COUNTIF($N$3:N167,"马")=0,10^9,LOOKUP(2,1/($N$3:N167="马"),ROW($N$3:N167))),IF(COUNTIF($N$3:N167,"羊")=0,10^9,LOOKUP(2,1/($N$3:N167="羊"),ROW($N$3:N167))),IF(COUNTIF($N$3:N167,"猴")=0,10^9,LOOKUP(2,1/($N$3:N167="猴"),ROW($N$3:N167))),IF(COUNTIF($N$3:N167,"鸡")=0,10^9,LOOKUP(2,1/($N$3:N167="鸡"),ROW($N$3:N167))),IF(COUNTIF($N$3:N167,"狗")=0,10^9,LOOKUP(2,1/($N$3:N167="狗"),ROW($N$3:N167))),IF(COUNTIF($N$3:N167,"猪")=0,10^9,LOOKUP(2,1/($N$3:N167="猪"),ROW($N$3:N167))))-ROW($N$3)+1),""))),0,IF(ISNUMBER(J167),J167+1,1)))</f>
        <v/>
      </c>
      <c r="K168" s="5" t="e">
        <f t="shared" si="18"/>
        <v>#N/A</v>
      </c>
      <c r="M168" s="6" t="str">
        <f t="shared" si="14"/>
        <v/>
      </c>
      <c r="N168" s="2" t="e">
        <f t="shared" si="15"/>
        <v>#N/A</v>
      </c>
      <c r="O168" s="7" t="str">
        <f>IF(M168="","",IF(COUNTIF(M169:$M$1000,M168)&gt;0,"",M168))</f>
        <v/>
      </c>
      <c r="P168" s="8" t="e">
        <f>IF(N168="","",IF(COUNTIF(N169:$N$1000,N168)&gt;0,"",N168))</f>
        <v>#N/A</v>
      </c>
      <c r="Q168" s="21" t="e">
        <f t="shared" si="16"/>
        <v>#NUM!</v>
      </c>
      <c r="R168" s="22" t="e">
        <f t="shared" si="17"/>
        <v>#NUM!</v>
      </c>
      <c r="X168" s="2"/>
      <c r="Y168" s="2"/>
    </row>
    <row r="169" s="1" customFormat="1" spans="1:25">
      <c r="A169" s="2">
        <v>115056804</v>
      </c>
      <c r="B169" s="2"/>
      <c r="C169" s="2"/>
      <c r="D169" s="2"/>
      <c r="E169" s="2"/>
      <c r="F169" s="2"/>
      <c r="G169" s="2"/>
      <c r="H169" s="3"/>
      <c r="I169" s="2" t="e">
        <f t="shared" si="13"/>
        <v>#N/A</v>
      </c>
      <c r="J169" s="4" t="str">
        <f>IF(H169="","",IF(OR(AND(M169&lt;&gt;"",M169=IFERROR(INDEX($M$3:M168,MIN(IF(COUNTIF($M$3:M168,"0")=0,10^9,LOOKUP(2,1/($M$3:M168="0"),ROW($M$3:M168))),IF(COUNTIF($M$3:M168,"1")=0,10^9,LOOKUP(2,1/($M$3:M168="1"),ROW($M$3:M168))),IF(COUNTIF($M$3:M168,"2")=0,10^9,LOOKUP(2,1/($M$3:M168="2"),ROW($M$3:M168))),IF(COUNTIF($M$3:M168,"3")=0,10^9,LOOKUP(2,1/($M$3:M168="3"),ROW($M$3:M168))),IF(COUNTIF($M$3:M168,"4")=0,10^9,LOOKUP(2,1/($M$3:M168="4"),ROW($M$3:M168))),IF(COUNTIF($M$3:M168,"5")=0,10^9,LOOKUP(2,1/($M$3:M168="5"),ROW($M$3:M168))),IF(COUNTIF($M$3:M168,"6")=0,10^9,LOOKUP(2,1/($M$3:M168="6"),ROW($M$3:M168))),IF(COUNTIF($M$3:M168,"7")=0,10^9,LOOKUP(2,1/($M$3:M168="7"),ROW($M$3:M168))),IF(COUNTIF($M$3:M168,"8")=0,10^9,LOOKUP(2,1/($M$3:M168="8"),ROW($M$3:M168))),IF(COUNTIF($M$3:M168,"9")=0,10^9,LOOKUP(2,1/($M$3:M168="9"),ROW($M$3:M168))))-ROW($M$3)+1),"")),AND(N169&lt;&gt;"",N169=IFERROR(INDEX($N$3:N168,MIN(IF(COUNTIF($N$3:N168,"鼠")=0,10^9,LOOKUP(2,1/($N$3:N168="鼠"),ROW($N$3:N168))),IF(COUNTIF($N$3:N168,"牛")=0,10^9,LOOKUP(2,1/($N$3:N168="牛"),ROW($N$3:N168))),IF(COUNTIF($N$3:N168,"虎")=0,10^9,LOOKUP(2,1/($N$3:N168="虎"),ROW($N$3:N168))),IF(COUNTIF($N$3:N168,"兔")=0,10^9,LOOKUP(2,1/($N$3:N168="兔"),ROW($N$3:N168))),IF(COUNTIF($N$3:N168,"龙")=0,10^9,LOOKUP(2,1/($N$3:N168="龙"),ROW($N$3:N168))),IF(COUNTIF($N$3:N168,"蛇")=0,10^9,LOOKUP(2,1/($N$3:N168="蛇"),ROW($N$3:N168))),IF(COUNTIF($N$3:N168,"马")=0,10^9,LOOKUP(2,1/($N$3:N168="马"),ROW($N$3:N168))),IF(COUNTIF($N$3:N168,"羊")=0,10^9,LOOKUP(2,1/($N$3:N168="羊"),ROW($N$3:N168))),IF(COUNTIF($N$3:N168,"猴")=0,10^9,LOOKUP(2,1/($N$3:N168="猴"),ROW($N$3:N168))),IF(COUNTIF($N$3:N168,"鸡")=0,10^9,LOOKUP(2,1/($N$3:N168="鸡"),ROW($N$3:N168))),IF(COUNTIF($N$3:N168,"狗")=0,10^9,LOOKUP(2,1/($N$3:N168="狗"),ROW($N$3:N168))),IF(COUNTIF($N$3:N168,"猪")=0,10^9,LOOKUP(2,1/($N$3:N168="猪"),ROW($N$3:N168))))-ROW($N$3)+1),""))),0,IF(ISNUMBER(J168),J168+1,1)))</f>
        <v/>
      </c>
      <c r="K169" s="5" t="e">
        <f t="shared" si="18"/>
        <v>#N/A</v>
      </c>
      <c r="M169" s="6" t="str">
        <f t="shared" si="14"/>
        <v/>
      </c>
      <c r="N169" s="2" t="e">
        <f t="shared" si="15"/>
        <v>#N/A</v>
      </c>
      <c r="O169" s="7" t="str">
        <f>IF(M169="","",IF(COUNTIF(M170:$M$1000,M169)&gt;0,"",M169))</f>
        <v/>
      </c>
      <c r="P169" s="8" t="e">
        <f>IF(N169="","",IF(COUNTIF(N170:$N$1000,N169)&gt;0,"",N169))</f>
        <v>#N/A</v>
      </c>
      <c r="Q169" s="21" t="e">
        <f t="shared" si="16"/>
        <v>#NUM!</v>
      </c>
      <c r="R169" s="22" t="e">
        <f t="shared" si="17"/>
        <v>#NUM!</v>
      </c>
      <c r="X169" s="2"/>
      <c r="Y169" s="2"/>
    </row>
    <row r="170" s="1" customFormat="1" spans="1:25">
      <c r="A170" s="2">
        <v>115056805</v>
      </c>
      <c r="B170" s="2"/>
      <c r="C170" s="2"/>
      <c r="D170" s="2"/>
      <c r="E170" s="2"/>
      <c r="F170" s="2"/>
      <c r="G170" s="2"/>
      <c r="H170" s="3"/>
      <c r="I170" s="2" t="e">
        <f t="shared" si="13"/>
        <v>#N/A</v>
      </c>
      <c r="J170" s="4" t="str">
        <f>IF(H170="","",IF(OR(AND(M170&lt;&gt;"",M170=IFERROR(INDEX($M$3:M169,MIN(IF(COUNTIF($M$3:M169,"0")=0,10^9,LOOKUP(2,1/($M$3:M169="0"),ROW($M$3:M169))),IF(COUNTIF($M$3:M169,"1")=0,10^9,LOOKUP(2,1/($M$3:M169="1"),ROW($M$3:M169))),IF(COUNTIF($M$3:M169,"2")=0,10^9,LOOKUP(2,1/($M$3:M169="2"),ROW($M$3:M169))),IF(COUNTIF($M$3:M169,"3")=0,10^9,LOOKUP(2,1/($M$3:M169="3"),ROW($M$3:M169))),IF(COUNTIF($M$3:M169,"4")=0,10^9,LOOKUP(2,1/($M$3:M169="4"),ROW($M$3:M169))),IF(COUNTIF($M$3:M169,"5")=0,10^9,LOOKUP(2,1/($M$3:M169="5"),ROW($M$3:M169))),IF(COUNTIF($M$3:M169,"6")=0,10^9,LOOKUP(2,1/($M$3:M169="6"),ROW($M$3:M169))),IF(COUNTIF($M$3:M169,"7")=0,10^9,LOOKUP(2,1/($M$3:M169="7"),ROW($M$3:M169))),IF(COUNTIF($M$3:M169,"8")=0,10^9,LOOKUP(2,1/($M$3:M169="8"),ROW($M$3:M169))),IF(COUNTIF($M$3:M169,"9")=0,10^9,LOOKUP(2,1/($M$3:M169="9"),ROW($M$3:M169))))-ROW($M$3)+1),"")),AND(N170&lt;&gt;"",N170=IFERROR(INDEX($N$3:N169,MIN(IF(COUNTIF($N$3:N169,"鼠")=0,10^9,LOOKUP(2,1/($N$3:N169="鼠"),ROW($N$3:N169))),IF(COUNTIF($N$3:N169,"牛")=0,10^9,LOOKUP(2,1/($N$3:N169="牛"),ROW($N$3:N169))),IF(COUNTIF($N$3:N169,"虎")=0,10^9,LOOKUP(2,1/($N$3:N169="虎"),ROW($N$3:N169))),IF(COUNTIF($N$3:N169,"兔")=0,10^9,LOOKUP(2,1/($N$3:N169="兔"),ROW($N$3:N169))),IF(COUNTIF($N$3:N169,"龙")=0,10^9,LOOKUP(2,1/($N$3:N169="龙"),ROW($N$3:N169))),IF(COUNTIF($N$3:N169,"蛇")=0,10^9,LOOKUP(2,1/($N$3:N169="蛇"),ROW($N$3:N169))),IF(COUNTIF($N$3:N169,"马")=0,10^9,LOOKUP(2,1/($N$3:N169="马"),ROW($N$3:N169))),IF(COUNTIF($N$3:N169,"羊")=0,10^9,LOOKUP(2,1/($N$3:N169="羊"),ROW($N$3:N169))),IF(COUNTIF($N$3:N169,"猴")=0,10^9,LOOKUP(2,1/($N$3:N169="猴"),ROW($N$3:N169))),IF(COUNTIF($N$3:N169,"鸡")=0,10^9,LOOKUP(2,1/($N$3:N169="鸡"),ROW($N$3:N169))),IF(COUNTIF($N$3:N169,"狗")=0,10^9,LOOKUP(2,1/($N$3:N169="狗"),ROW($N$3:N169))),IF(COUNTIF($N$3:N169,"猪")=0,10^9,LOOKUP(2,1/($N$3:N169="猪"),ROW($N$3:N169))))-ROW($N$3)+1),""))),0,IF(ISNUMBER(J169),J169+1,1)))</f>
        <v/>
      </c>
      <c r="K170" s="5" t="e">
        <f t="shared" si="18"/>
        <v>#N/A</v>
      </c>
      <c r="M170" s="6" t="str">
        <f t="shared" si="14"/>
        <v/>
      </c>
      <c r="N170" s="2" t="e">
        <f t="shared" si="15"/>
        <v>#N/A</v>
      </c>
      <c r="O170" s="7" t="str">
        <f>IF(M170="","",IF(COUNTIF(M171:$M$1000,M170)&gt;0,"",M170))</f>
        <v/>
      </c>
      <c r="P170" s="8" t="e">
        <f>IF(N170="","",IF(COUNTIF(N171:$N$1000,N170)&gt;0,"",N170))</f>
        <v>#N/A</v>
      </c>
      <c r="Q170" s="21" t="e">
        <f t="shared" si="16"/>
        <v>#NUM!</v>
      </c>
      <c r="R170" s="22" t="e">
        <f t="shared" si="17"/>
        <v>#NUM!</v>
      </c>
      <c r="X170" s="2"/>
      <c r="Y170" s="2"/>
    </row>
    <row r="171" s="1" customFormat="1" spans="1:25">
      <c r="A171" s="2">
        <v>115056806</v>
      </c>
      <c r="B171" s="2"/>
      <c r="C171" s="2"/>
      <c r="D171" s="2"/>
      <c r="E171" s="2"/>
      <c r="F171" s="2"/>
      <c r="G171" s="2"/>
      <c r="H171" s="3"/>
      <c r="I171" s="2" t="e">
        <f t="shared" si="13"/>
        <v>#N/A</v>
      </c>
      <c r="J171" s="4" t="str">
        <f>IF(H171="","",IF(OR(AND(M171&lt;&gt;"",M171=IFERROR(INDEX($M$3:M170,MIN(IF(COUNTIF($M$3:M170,"0")=0,10^9,LOOKUP(2,1/($M$3:M170="0"),ROW($M$3:M170))),IF(COUNTIF($M$3:M170,"1")=0,10^9,LOOKUP(2,1/($M$3:M170="1"),ROW($M$3:M170))),IF(COUNTIF($M$3:M170,"2")=0,10^9,LOOKUP(2,1/($M$3:M170="2"),ROW($M$3:M170))),IF(COUNTIF($M$3:M170,"3")=0,10^9,LOOKUP(2,1/($M$3:M170="3"),ROW($M$3:M170))),IF(COUNTIF($M$3:M170,"4")=0,10^9,LOOKUP(2,1/($M$3:M170="4"),ROW($M$3:M170))),IF(COUNTIF($M$3:M170,"5")=0,10^9,LOOKUP(2,1/($M$3:M170="5"),ROW($M$3:M170))),IF(COUNTIF($M$3:M170,"6")=0,10^9,LOOKUP(2,1/($M$3:M170="6"),ROW($M$3:M170))),IF(COUNTIF($M$3:M170,"7")=0,10^9,LOOKUP(2,1/($M$3:M170="7"),ROW($M$3:M170))),IF(COUNTIF($M$3:M170,"8")=0,10^9,LOOKUP(2,1/($M$3:M170="8"),ROW($M$3:M170))),IF(COUNTIF($M$3:M170,"9")=0,10^9,LOOKUP(2,1/($M$3:M170="9"),ROW($M$3:M170))))-ROW($M$3)+1),"")),AND(N171&lt;&gt;"",N171=IFERROR(INDEX($N$3:N170,MIN(IF(COUNTIF($N$3:N170,"鼠")=0,10^9,LOOKUP(2,1/($N$3:N170="鼠"),ROW($N$3:N170))),IF(COUNTIF($N$3:N170,"牛")=0,10^9,LOOKUP(2,1/($N$3:N170="牛"),ROW($N$3:N170))),IF(COUNTIF($N$3:N170,"虎")=0,10^9,LOOKUP(2,1/($N$3:N170="虎"),ROW($N$3:N170))),IF(COUNTIF($N$3:N170,"兔")=0,10^9,LOOKUP(2,1/($N$3:N170="兔"),ROW($N$3:N170))),IF(COUNTIF($N$3:N170,"龙")=0,10^9,LOOKUP(2,1/($N$3:N170="龙"),ROW($N$3:N170))),IF(COUNTIF($N$3:N170,"蛇")=0,10^9,LOOKUP(2,1/($N$3:N170="蛇"),ROW($N$3:N170))),IF(COUNTIF($N$3:N170,"马")=0,10^9,LOOKUP(2,1/($N$3:N170="马"),ROW($N$3:N170))),IF(COUNTIF($N$3:N170,"羊")=0,10^9,LOOKUP(2,1/($N$3:N170="羊"),ROW($N$3:N170))),IF(COUNTIF($N$3:N170,"猴")=0,10^9,LOOKUP(2,1/($N$3:N170="猴"),ROW($N$3:N170))),IF(COUNTIF($N$3:N170,"鸡")=0,10^9,LOOKUP(2,1/($N$3:N170="鸡"),ROW($N$3:N170))),IF(COUNTIF($N$3:N170,"狗")=0,10^9,LOOKUP(2,1/($N$3:N170="狗"),ROW($N$3:N170))),IF(COUNTIF($N$3:N170,"猪")=0,10^9,LOOKUP(2,1/($N$3:N170="猪"),ROW($N$3:N170))))-ROW($N$3)+1),""))),0,IF(ISNUMBER(J170),J170+1,1)))</f>
        <v/>
      </c>
      <c r="K171" s="5" t="e">
        <f t="shared" si="18"/>
        <v>#N/A</v>
      </c>
      <c r="M171" s="6" t="str">
        <f t="shared" si="14"/>
        <v/>
      </c>
      <c r="N171" s="2" t="e">
        <f t="shared" si="15"/>
        <v>#N/A</v>
      </c>
      <c r="O171" s="7" t="str">
        <f>IF(M171="","",IF(COUNTIF(M172:$M$1000,M171)&gt;0,"",M171))</f>
        <v/>
      </c>
      <c r="P171" s="8" t="e">
        <f>IF(N171="","",IF(COUNTIF(N172:$N$1000,N171)&gt;0,"",N171))</f>
        <v>#N/A</v>
      </c>
      <c r="Q171" s="21" t="e">
        <f t="shared" si="16"/>
        <v>#NUM!</v>
      </c>
      <c r="R171" s="22" t="e">
        <f t="shared" si="17"/>
        <v>#NUM!</v>
      </c>
      <c r="X171" s="2"/>
      <c r="Y171" s="2"/>
    </row>
    <row r="172" s="1" customFormat="1" spans="1:25">
      <c r="A172" s="2">
        <v>115056807</v>
      </c>
      <c r="B172" s="2"/>
      <c r="C172" s="2"/>
      <c r="D172" s="2"/>
      <c r="E172" s="2"/>
      <c r="F172" s="2"/>
      <c r="G172" s="2"/>
      <c r="H172" s="3"/>
      <c r="I172" s="2" t="e">
        <f t="shared" si="13"/>
        <v>#N/A</v>
      </c>
      <c r="J172" s="4" t="str">
        <f>IF(H172="","",IF(OR(AND(M172&lt;&gt;"",M172=IFERROR(INDEX($M$3:M171,MIN(IF(COUNTIF($M$3:M171,"0")=0,10^9,LOOKUP(2,1/($M$3:M171="0"),ROW($M$3:M171))),IF(COUNTIF($M$3:M171,"1")=0,10^9,LOOKUP(2,1/($M$3:M171="1"),ROW($M$3:M171))),IF(COUNTIF($M$3:M171,"2")=0,10^9,LOOKUP(2,1/($M$3:M171="2"),ROW($M$3:M171))),IF(COUNTIF($M$3:M171,"3")=0,10^9,LOOKUP(2,1/($M$3:M171="3"),ROW($M$3:M171))),IF(COUNTIF($M$3:M171,"4")=0,10^9,LOOKUP(2,1/($M$3:M171="4"),ROW($M$3:M171))),IF(COUNTIF($M$3:M171,"5")=0,10^9,LOOKUP(2,1/($M$3:M171="5"),ROW($M$3:M171))),IF(COUNTIF($M$3:M171,"6")=0,10^9,LOOKUP(2,1/($M$3:M171="6"),ROW($M$3:M171))),IF(COUNTIF($M$3:M171,"7")=0,10^9,LOOKUP(2,1/($M$3:M171="7"),ROW($M$3:M171))),IF(COUNTIF($M$3:M171,"8")=0,10^9,LOOKUP(2,1/($M$3:M171="8"),ROW($M$3:M171))),IF(COUNTIF($M$3:M171,"9")=0,10^9,LOOKUP(2,1/($M$3:M171="9"),ROW($M$3:M171))))-ROW($M$3)+1),"")),AND(N172&lt;&gt;"",N172=IFERROR(INDEX($N$3:N171,MIN(IF(COUNTIF($N$3:N171,"鼠")=0,10^9,LOOKUP(2,1/($N$3:N171="鼠"),ROW($N$3:N171))),IF(COUNTIF($N$3:N171,"牛")=0,10^9,LOOKUP(2,1/($N$3:N171="牛"),ROW($N$3:N171))),IF(COUNTIF($N$3:N171,"虎")=0,10^9,LOOKUP(2,1/($N$3:N171="虎"),ROW($N$3:N171))),IF(COUNTIF($N$3:N171,"兔")=0,10^9,LOOKUP(2,1/($N$3:N171="兔"),ROW($N$3:N171))),IF(COUNTIF($N$3:N171,"龙")=0,10^9,LOOKUP(2,1/($N$3:N171="龙"),ROW($N$3:N171))),IF(COUNTIF($N$3:N171,"蛇")=0,10^9,LOOKUP(2,1/($N$3:N171="蛇"),ROW($N$3:N171))),IF(COUNTIF($N$3:N171,"马")=0,10^9,LOOKUP(2,1/($N$3:N171="马"),ROW($N$3:N171))),IF(COUNTIF($N$3:N171,"羊")=0,10^9,LOOKUP(2,1/($N$3:N171="羊"),ROW($N$3:N171))),IF(COUNTIF($N$3:N171,"猴")=0,10^9,LOOKUP(2,1/($N$3:N171="猴"),ROW($N$3:N171))),IF(COUNTIF($N$3:N171,"鸡")=0,10^9,LOOKUP(2,1/($N$3:N171="鸡"),ROW($N$3:N171))),IF(COUNTIF($N$3:N171,"狗")=0,10^9,LOOKUP(2,1/($N$3:N171="狗"),ROW($N$3:N171))),IF(COUNTIF($N$3:N171,"猪")=0,10^9,LOOKUP(2,1/($N$3:N171="猪"),ROW($N$3:N171))))-ROW($N$3)+1),""))),0,IF(ISNUMBER(J171),J171+1,1)))</f>
        <v/>
      </c>
      <c r="K172" s="5" t="e">
        <f t="shared" si="18"/>
        <v>#N/A</v>
      </c>
      <c r="M172" s="6" t="str">
        <f t="shared" si="14"/>
        <v/>
      </c>
      <c r="N172" s="2" t="e">
        <f t="shared" si="15"/>
        <v>#N/A</v>
      </c>
      <c r="O172" s="7" t="str">
        <f>IF(M172="","",IF(COUNTIF(M173:$M$1000,M172)&gt;0,"",M172))</f>
        <v/>
      </c>
      <c r="P172" s="8" t="e">
        <f>IF(N172="","",IF(COUNTIF(N173:$N$1000,N172)&gt;0,"",N172))</f>
        <v>#N/A</v>
      </c>
      <c r="Q172" s="21" t="e">
        <f t="shared" si="16"/>
        <v>#NUM!</v>
      </c>
      <c r="R172" s="22" t="e">
        <f t="shared" si="17"/>
        <v>#NUM!</v>
      </c>
      <c r="X172" s="2"/>
      <c r="Y172" s="2"/>
    </row>
    <row r="173" s="1" customFormat="1" spans="1:25">
      <c r="A173" s="2">
        <v>115056808</v>
      </c>
      <c r="B173" s="2"/>
      <c r="C173" s="2"/>
      <c r="D173" s="2"/>
      <c r="E173" s="2"/>
      <c r="F173" s="2"/>
      <c r="G173" s="2"/>
      <c r="H173" s="3"/>
      <c r="I173" s="2" t="e">
        <f t="shared" si="13"/>
        <v>#N/A</v>
      </c>
      <c r="J173" s="4" t="str">
        <f>IF(H173="","",IF(OR(AND(M173&lt;&gt;"",M173=IFERROR(INDEX($M$3:M172,MIN(IF(COUNTIF($M$3:M172,"0")=0,10^9,LOOKUP(2,1/($M$3:M172="0"),ROW($M$3:M172))),IF(COUNTIF($M$3:M172,"1")=0,10^9,LOOKUP(2,1/($M$3:M172="1"),ROW($M$3:M172))),IF(COUNTIF($M$3:M172,"2")=0,10^9,LOOKUP(2,1/($M$3:M172="2"),ROW($M$3:M172))),IF(COUNTIF($M$3:M172,"3")=0,10^9,LOOKUP(2,1/($M$3:M172="3"),ROW($M$3:M172))),IF(COUNTIF($M$3:M172,"4")=0,10^9,LOOKUP(2,1/($M$3:M172="4"),ROW($M$3:M172))),IF(COUNTIF($M$3:M172,"5")=0,10^9,LOOKUP(2,1/($M$3:M172="5"),ROW($M$3:M172))),IF(COUNTIF($M$3:M172,"6")=0,10^9,LOOKUP(2,1/($M$3:M172="6"),ROW($M$3:M172))),IF(COUNTIF($M$3:M172,"7")=0,10^9,LOOKUP(2,1/($M$3:M172="7"),ROW($M$3:M172))),IF(COUNTIF($M$3:M172,"8")=0,10^9,LOOKUP(2,1/($M$3:M172="8"),ROW($M$3:M172))),IF(COUNTIF($M$3:M172,"9")=0,10^9,LOOKUP(2,1/($M$3:M172="9"),ROW($M$3:M172))))-ROW($M$3)+1),"")),AND(N173&lt;&gt;"",N173=IFERROR(INDEX($N$3:N172,MIN(IF(COUNTIF($N$3:N172,"鼠")=0,10^9,LOOKUP(2,1/($N$3:N172="鼠"),ROW($N$3:N172))),IF(COUNTIF($N$3:N172,"牛")=0,10^9,LOOKUP(2,1/($N$3:N172="牛"),ROW($N$3:N172))),IF(COUNTIF($N$3:N172,"虎")=0,10^9,LOOKUP(2,1/($N$3:N172="虎"),ROW($N$3:N172))),IF(COUNTIF($N$3:N172,"兔")=0,10^9,LOOKUP(2,1/($N$3:N172="兔"),ROW($N$3:N172))),IF(COUNTIF($N$3:N172,"龙")=0,10^9,LOOKUP(2,1/($N$3:N172="龙"),ROW($N$3:N172))),IF(COUNTIF($N$3:N172,"蛇")=0,10^9,LOOKUP(2,1/($N$3:N172="蛇"),ROW($N$3:N172))),IF(COUNTIF($N$3:N172,"马")=0,10^9,LOOKUP(2,1/($N$3:N172="马"),ROW($N$3:N172))),IF(COUNTIF($N$3:N172,"羊")=0,10^9,LOOKUP(2,1/($N$3:N172="羊"),ROW($N$3:N172))),IF(COUNTIF($N$3:N172,"猴")=0,10^9,LOOKUP(2,1/($N$3:N172="猴"),ROW($N$3:N172))),IF(COUNTIF($N$3:N172,"鸡")=0,10^9,LOOKUP(2,1/($N$3:N172="鸡"),ROW($N$3:N172))),IF(COUNTIF($N$3:N172,"狗")=0,10^9,LOOKUP(2,1/($N$3:N172="狗"),ROW($N$3:N172))),IF(COUNTIF($N$3:N172,"猪")=0,10^9,LOOKUP(2,1/($N$3:N172="猪"),ROW($N$3:N172))))-ROW($N$3)+1),""))),0,IF(ISNUMBER(J172),J172+1,1)))</f>
        <v/>
      </c>
      <c r="K173" s="5" t="e">
        <f t="shared" si="18"/>
        <v>#N/A</v>
      </c>
      <c r="M173" s="6" t="str">
        <f t="shared" si="14"/>
        <v/>
      </c>
      <c r="N173" s="2" t="e">
        <f t="shared" si="15"/>
        <v>#N/A</v>
      </c>
      <c r="O173" s="7" t="str">
        <f>IF(M173="","",IF(COUNTIF(M174:$M$1000,M173)&gt;0,"",M173))</f>
        <v/>
      </c>
      <c r="P173" s="8" t="e">
        <f>IF(N173="","",IF(COUNTIF(N174:$N$1000,N173)&gt;0,"",N173))</f>
        <v>#N/A</v>
      </c>
      <c r="Q173" s="21" t="e">
        <f t="shared" si="16"/>
        <v>#NUM!</v>
      </c>
      <c r="R173" s="22" t="e">
        <f t="shared" si="17"/>
        <v>#NUM!</v>
      </c>
      <c r="X173" s="2"/>
      <c r="Y173" s="2"/>
    </row>
    <row r="174" s="1" customFormat="1" spans="1:25">
      <c r="A174" s="2">
        <v>115056809</v>
      </c>
      <c r="B174" s="2"/>
      <c r="C174" s="2"/>
      <c r="D174" s="2"/>
      <c r="E174" s="2"/>
      <c r="F174" s="2"/>
      <c r="G174" s="2"/>
      <c r="H174" s="3"/>
      <c r="I174" s="2" t="e">
        <f t="shared" si="13"/>
        <v>#N/A</v>
      </c>
      <c r="J174" s="4" t="str">
        <f>IF(H174="","",IF(OR(AND(M174&lt;&gt;"",M174=IFERROR(INDEX($M$3:M173,MIN(IF(COUNTIF($M$3:M173,"0")=0,10^9,LOOKUP(2,1/($M$3:M173="0"),ROW($M$3:M173))),IF(COUNTIF($M$3:M173,"1")=0,10^9,LOOKUP(2,1/($M$3:M173="1"),ROW($M$3:M173))),IF(COUNTIF($M$3:M173,"2")=0,10^9,LOOKUP(2,1/($M$3:M173="2"),ROW($M$3:M173))),IF(COUNTIF($M$3:M173,"3")=0,10^9,LOOKUP(2,1/($M$3:M173="3"),ROW($M$3:M173))),IF(COUNTIF($M$3:M173,"4")=0,10^9,LOOKUP(2,1/($M$3:M173="4"),ROW($M$3:M173))),IF(COUNTIF($M$3:M173,"5")=0,10^9,LOOKUP(2,1/($M$3:M173="5"),ROW($M$3:M173))),IF(COUNTIF($M$3:M173,"6")=0,10^9,LOOKUP(2,1/($M$3:M173="6"),ROW($M$3:M173))),IF(COUNTIF($M$3:M173,"7")=0,10^9,LOOKUP(2,1/($M$3:M173="7"),ROW($M$3:M173))),IF(COUNTIF($M$3:M173,"8")=0,10^9,LOOKUP(2,1/($M$3:M173="8"),ROW($M$3:M173))),IF(COUNTIF($M$3:M173,"9")=0,10^9,LOOKUP(2,1/($M$3:M173="9"),ROW($M$3:M173))))-ROW($M$3)+1),"")),AND(N174&lt;&gt;"",N174=IFERROR(INDEX($N$3:N173,MIN(IF(COUNTIF($N$3:N173,"鼠")=0,10^9,LOOKUP(2,1/($N$3:N173="鼠"),ROW($N$3:N173))),IF(COUNTIF($N$3:N173,"牛")=0,10^9,LOOKUP(2,1/($N$3:N173="牛"),ROW($N$3:N173))),IF(COUNTIF($N$3:N173,"虎")=0,10^9,LOOKUP(2,1/($N$3:N173="虎"),ROW($N$3:N173))),IF(COUNTIF($N$3:N173,"兔")=0,10^9,LOOKUP(2,1/($N$3:N173="兔"),ROW($N$3:N173))),IF(COUNTIF($N$3:N173,"龙")=0,10^9,LOOKUP(2,1/($N$3:N173="龙"),ROW($N$3:N173))),IF(COUNTIF($N$3:N173,"蛇")=0,10^9,LOOKUP(2,1/($N$3:N173="蛇"),ROW($N$3:N173))),IF(COUNTIF($N$3:N173,"马")=0,10^9,LOOKUP(2,1/($N$3:N173="马"),ROW($N$3:N173))),IF(COUNTIF($N$3:N173,"羊")=0,10^9,LOOKUP(2,1/($N$3:N173="羊"),ROW($N$3:N173))),IF(COUNTIF($N$3:N173,"猴")=0,10^9,LOOKUP(2,1/($N$3:N173="猴"),ROW($N$3:N173))),IF(COUNTIF($N$3:N173,"鸡")=0,10^9,LOOKUP(2,1/($N$3:N173="鸡"),ROW($N$3:N173))),IF(COUNTIF($N$3:N173,"狗")=0,10^9,LOOKUP(2,1/($N$3:N173="狗"),ROW($N$3:N173))),IF(COUNTIF($N$3:N173,"猪")=0,10^9,LOOKUP(2,1/($N$3:N173="猪"),ROW($N$3:N173))))-ROW($N$3)+1),""))),0,IF(ISNUMBER(J173),J173+1,1)))</f>
        <v/>
      </c>
      <c r="K174" s="5" t="e">
        <f t="shared" si="18"/>
        <v>#N/A</v>
      </c>
      <c r="M174" s="6" t="str">
        <f t="shared" si="14"/>
        <v/>
      </c>
      <c r="N174" s="2" t="e">
        <f t="shared" si="15"/>
        <v>#N/A</v>
      </c>
      <c r="O174" s="7" t="str">
        <f>IF(M174="","",IF(COUNTIF(M175:$M$1000,M174)&gt;0,"",M174))</f>
        <v/>
      </c>
      <c r="P174" s="8" t="e">
        <f>IF(N174="","",IF(COUNTIF(N175:$N$1000,N174)&gt;0,"",N174))</f>
        <v>#N/A</v>
      </c>
      <c r="Q174" s="21" t="e">
        <f t="shared" si="16"/>
        <v>#NUM!</v>
      </c>
      <c r="R174" s="22" t="e">
        <f t="shared" si="17"/>
        <v>#NUM!</v>
      </c>
      <c r="X174" s="2"/>
      <c r="Y174" s="2"/>
    </row>
    <row r="175" s="1" customFormat="1" spans="1:25">
      <c r="A175" s="2">
        <v>115056810</v>
      </c>
      <c r="B175" s="2"/>
      <c r="C175" s="2"/>
      <c r="D175" s="2"/>
      <c r="E175" s="2"/>
      <c r="F175" s="2"/>
      <c r="G175" s="2"/>
      <c r="H175" s="3"/>
      <c r="I175" s="2" t="e">
        <f t="shared" si="13"/>
        <v>#N/A</v>
      </c>
      <c r="J175" s="4" t="str">
        <f>IF(H175="","",IF(OR(AND(M175&lt;&gt;"",M175=IFERROR(INDEX($M$3:M174,MIN(IF(COUNTIF($M$3:M174,"0")=0,10^9,LOOKUP(2,1/($M$3:M174="0"),ROW($M$3:M174))),IF(COUNTIF($M$3:M174,"1")=0,10^9,LOOKUP(2,1/($M$3:M174="1"),ROW($M$3:M174))),IF(COUNTIF($M$3:M174,"2")=0,10^9,LOOKUP(2,1/($M$3:M174="2"),ROW($M$3:M174))),IF(COUNTIF($M$3:M174,"3")=0,10^9,LOOKUP(2,1/($M$3:M174="3"),ROW($M$3:M174))),IF(COUNTIF($M$3:M174,"4")=0,10^9,LOOKUP(2,1/($M$3:M174="4"),ROW($M$3:M174))),IF(COUNTIF($M$3:M174,"5")=0,10^9,LOOKUP(2,1/($M$3:M174="5"),ROW($M$3:M174))),IF(COUNTIF($M$3:M174,"6")=0,10^9,LOOKUP(2,1/($M$3:M174="6"),ROW($M$3:M174))),IF(COUNTIF($M$3:M174,"7")=0,10^9,LOOKUP(2,1/($M$3:M174="7"),ROW($M$3:M174))),IF(COUNTIF($M$3:M174,"8")=0,10^9,LOOKUP(2,1/($M$3:M174="8"),ROW($M$3:M174))),IF(COUNTIF($M$3:M174,"9")=0,10^9,LOOKUP(2,1/($M$3:M174="9"),ROW($M$3:M174))))-ROW($M$3)+1),"")),AND(N175&lt;&gt;"",N175=IFERROR(INDEX($N$3:N174,MIN(IF(COUNTIF($N$3:N174,"鼠")=0,10^9,LOOKUP(2,1/($N$3:N174="鼠"),ROW($N$3:N174))),IF(COUNTIF($N$3:N174,"牛")=0,10^9,LOOKUP(2,1/($N$3:N174="牛"),ROW($N$3:N174))),IF(COUNTIF($N$3:N174,"虎")=0,10^9,LOOKUP(2,1/($N$3:N174="虎"),ROW($N$3:N174))),IF(COUNTIF($N$3:N174,"兔")=0,10^9,LOOKUP(2,1/($N$3:N174="兔"),ROW($N$3:N174))),IF(COUNTIF($N$3:N174,"龙")=0,10^9,LOOKUP(2,1/($N$3:N174="龙"),ROW($N$3:N174))),IF(COUNTIF($N$3:N174,"蛇")=0,10^9,LOOKUP(2,1/($N$3:N174="蛇"),ROW($N$3:N174))),IF(COUNTIF($N$3:N174,"马")=0,10^9,LOOKUP(2,1/($N$3:N174="马"),ROW($N$3:N174))),IF(COUNTIF($N$3:N174,"羊")=0,10^9,LOOKUP(2,1/($N$3:N174="羊"),ROW($N$3:N174))),IF(COUNTIF($N$3:N174,"猴")=0,10^9,LOOKUP(2,1/($N$3:N174="猴"),ROW($N$3:N174))),IF(COUNTIF($N$3:N174,"鸡")=0,10^9,LOOKUP(2,1/($N$3:N174="鸡"),ROW($N$3:N174))),IF(COUNTIF($N$3:N174,"狗")=0,10^9,LOOKUP(2,1/($N$3:N174="狗"),ROW($N$3:N174))),IF(COUNTIF($N$3:N174,"猪")=0,10^9,LOOKUP(2,1/($N$3:N174="猪"),ROW($N$3:N174))))-ROW($N$3)+1),""))),0,IF(ISNUMBER(J174),J174+1,1)))</f>
        <v/>
      </c>
      <c r="K175" s="5" t="e">
        <f t="shared" si="18"/>
        <v>#N/A</v>
      </c>
      <c r="M175" s="6" t="str">
        <f t="shared" si="14"/>
        <v/>
      </c>
      <c r="N175" s="2" t="e">
        <f t="shared" si="15"/>
        <v>#N/A</v>
      </c>
      <c r="O175" s="7" t="str">
        <f>IF(M175="","",IF(COUNTIF(M176:$M$1000,M175)&gt;0,"",M175))</f>
        <v/>
      </c>
      <c r="P175" s="8" t="e">
        <f>IF(N175="","",IF(COUNTIF(N176:$N$1000,N175)&gt;0,"",N175))</f>
        <v>#N/A</v>
      </c>
      <c r="Q175" s="21" t="e">
        <f t="shared" si="16"/>
        <v>#NUM!</v>
      </c>
      <c r="R175" s="22" t="e">
        <f t="shared" si="17"/>
        <v>#NUM!</v>
      </c>
      <c r="X175" s="2"/>
      <c r="Y175" s="2"/>
    </row>
    <row r="176" s="1" customFormat="1" spans="1:25">
      <c r="A176" s="2">
        <v>115056811</v>
      </c>
      <c r="B176" s="2"/>
      <c r="C176" s="2"/>
      <c r="D176" s="2"/>
      <c r="E176" s="2"/>
      <c r="F176" s="2"/>
      <c r="G176" s="2"/>
      <c r="H176" s="3"/>
      <c r="I176" s="2" t="e">
        <f t="shared" si="13"/>
        <v>#N/A</v>
      </c>
      <c r="J176" s="4" t="str">
        <f>IF(H176="","",IF(OR(AND(M176&lt;&gt;"",M176=IFERROR(INDEX($M$3:M175,MIN(IF(COUNTIF($M$3:M175,"0")=0,10^9,LOOKUP(2,1/($M$3:M175="0"),ROW($M$3:M175))),IF(COUNTIF($M$3:M175,"1")=0,10^9,LOOKUP(2,1/($M$3:M175="1"),ROW($M$3:M175))),IF(COUNTIF($M$3:M175,"2")=0,10^9,LOOKUP(2,1/($M$3:M175="2"),ROW($M$3:M175))),IF(COUNTIF($M$3:M175,"3")=0,10^9,LOOKUP(2,1/($M$3:M175="3"),ROW($M$3:M175))),IF(COUNTIF($M$3:M175,"4")=0,10^9,LOOKUP(2,1/($M$3:M175="4"),ROW($M$3:M175))),IF(COUNTIF($M$3:M175,"5")=0,10^9,LOOKUP(2,1/($M$3:M175="5"),ROW($M$3:M175))),IF(COUNTIF($M$3:M175,"6")=0,10^9,LOOKUP(2,1/($M$3:M175="6"),ROW($M$3:M175))),IF(COUNTIF($M$3:M175,"7")=0,10^9,LOOKUP(2,1/($M$3:M175="7"),ROW($M$3:M175))),IF(COUNTIF($M$3:M175,"8")=0,10^9,LOOKUP(2,1/($M$3:M175="8"),ROW($M$3:M175))),IF(COUNTIF($M$3:M175,"9")=0,10^9,LOOKUP(2,1/($M$3:M175="9"),ROW($M$3:M175))))-ROW($M$3)+1),"")),AND(N176&lt;&gt;"",N176=IFERROR(INDEX($N$3:N175,MIN(IF(COUNTIF($N$3:N175,"鼠")=0,10^9,LOOKUP(2,1/($N$3:N175="鼠"),ROW($N$3:N175))),IF(COUNTIF($N$3:N175,"牛")=0,10^9,LOOKUP(2,1/($N$3:N175="牛"),ROW($N$3:N175))),IF(COUNTIF($N$3:N175,"虎")=0,10^9,LOOKUP(2,1/($N$3:N175="虎"),ROW($N$3:N175))),IF(COUNTIF($N$3:N175,"兔")=0,10^9,LOOKUP(2,1/($N$3:N175="兔"),ROW($N$3:N175))),IF(COUNTIF($N$3:N175,"龙")=0,10^9,LOOKUP(2,1/($N$3:N175="龙"),ROW($N$3:N175))),IF(COUNTIF($N$3:N175,"蛇")=0,10^9,LOOKUP(2,1/($N$3:N175="蛇"),ROW($N$3:N175))),IF(COUNTIF($N$3:N175,"马")=0,10^9,LOOKUP(2,1/($N$3:N175="马"),ROW($N$3:N175))),IF(COUNTIF($N$3:N175,"羊")=0,10^9,LOOKUP(2,1/($N$3:N175="羊"),ROW($N$3:N175))),IF(COUNTIF($N$3:N175,"猴")=0,10^9,LOOKUP(2,1/($N$3:N175="猴"),ROW($N$3:N175))),IF(COUNTIF($N$3:N175,"鸡")=0,10^9,LOOKUP(2,1/($N$3:N175="鸡"),ROW($N$3:N175))),IF(COUNTIF($N$3:N175,"狗")=0,10^9,LOOKUP(2,1/($N$3:N175="狗"),ROW($N$3:N175))),IF(COUNTIF($N$3:N175,"猪")=0,10^9,LOOKUP(2,1/($N$3:N175="猪"),ROW($N$3:N175))))-ROW($N$3)+1),""))),0,IF(ISNUMBER(J175),J175+1,1)))</f>
        <v/>
      </c>
      <c r="K176" s="5" t="e">
        <f t="shared" si="18"/>
        <v>#N/A</v>
      </c>
      <c r="M176" s="6" t="str">
        <f t="shared" si="14"/>
        <v/>
      </c>
      <c r="N176" s="2" t="e">
        <f t="shared" si="15"/>
        <v>#N/A</v>
      </c>
      <c r="O176" s="7" t="str">
        <f>IF(M176="","",IF(COUNTIF(M177:$M$1000,M176)&gt;0,"",M176))</f>
        <v/>
      </c>
      <c r="P176" s="8" t="e">
        <f>IF(N176="","",IF(COUNTIF(N177:$N$1000,N176)&gt;0,"",N176))</f>
        <v>#N/A</v>
      </c>
      <c r="Q176" s="21" t="e">
        <f t="shared" si="16"/>
        <v>#NUM!</v>
      </c>
      <c r="R176" s="22" t="e">
        <f t="shared" si="17"/>
        <v>#NUM!</v>
      </c>
      <c r="X176" s="2"/>
      <c r="Y176" s="2"/>
    </row>
    <row r="177" s="1" customFormat="1" spans="1:25">
      <c r="A177" s="2">
        <v>115056812</v>
      </c>
      <c r="B177" s="2"/>
      <c r="C177" s="2"/>
      <c r="D177" s="2"/>
      <c r="E177" s="2"/>
      <c r="F177" s="2"/>
      <c r="G177" s="2"/>
      <c r="H177" s="3"/>
      <c r="I177" s="2" t="e">
        <f t="shared" si="13"/>
        <v>#N/A</v>
      </c>
      <c r="J177" s="4" t="str">
        <f>IF(H177="","",IF(OR(AND(M177&lt;&gt;"",M177=IFERROR(INDEX($M$3:M176,MIN(IF(COUNTIF($M$3:M176,"0")=0,10^9,LOOKUP(2,1/($M$3:M176="0"),ROW($M$3:M176))),IF(COUNTIF($M$3:M176,"1")=0,10^9,LOOKUP(2,1/($M$3:M176="1"),ROW($M$3:M176))),IF(COUNTIF($M$3:M176,"2")=0,10^9,LOOKUP(2,1/($M$3:M176="2"),ROW($M$3:M176))),IF(COUNTIF($M$3:M176,"3")=0,10^9,LOOKUP(2,1/($M$3:M176="3"),ROW($M$3:M176))),IF(COUNTIF($M$3:M176,"4")=0,10^9,LOOKUP(2,1/($M$3:M176="4"),ROW($M$3:M176))),IF(COUNTIF($M$3:M176,"5")=0,10^9,LOOKUP(2,1/($M$3:M176="5"),ROW($M$3:M176))),IF(COUNTIF($M$3:M176,"6")=0,10^9,LOOKUP(2,1/($M$3:M176="6"),ROW($M$3:M176))),IF(COUNTIF($M$3:M176,"7")=0,10^9,LOOKUP(2,1/($M$3:M176="7"),ROW($M$3:M176))),IF(COUNTIF($M$3:M176,"8")=0,10^9,LOOKUP(2,1/($M$3:M176="8"),ROW($M$3:M176))),IF(COUNTIF($M$3:M176,"9")=0,10^9,LOOKUP(2,1/($M$3:M176="9"),ROW($M$3:M176))))-ROW($M$3)+1),"")),AND(N177&lt;&gt;"",N177=IFERROR(INDEX($N$3:N176,MIN(IF(COUNTIF($N$3:N176,"鼠")=0,10^9,LOOKUP(2,1/($N$3:N176="鼠"),ROW($N$3:N176))),IF(COUNTIF($N$3:N176,"牛")=0,10^9,LOOKUP(2,1/($N$3:N176="牛"),ROW($N$3:N176))),IF(COUNTIF($N$3:N176,"虎")=0,10^9,LOOKUP(2,1/($N$3:N176="虎"),ROW($N$3:N176))),IF(COUNTIF($N$3:N176,"兔")=0,10^9,LOOKUP(2,1/($N$3:N176="兔"),ROW($N$3:N176))),IF(COUNTIF($N$3:N176,"龙")=0,10^9,LOOKUP(2,1/($N$3:N176="龙"),ROW($N$3:N176))),IF(COUNTIF($N$3:N176,"蛇")=0,10^9,LOOKUP(2,1/($N$3:N176="蛇"),ROW($N$3:N176))),IF(COUNTIF($N$3:N176,"马")=0,10^9,LOOKUP(2,1/($N$3:N176="马"),ROW($N$3:N176))),IF(COUNTIF($N$3:N176,"羊")=0,10^9,LOOKUP(2,1/($N$3:N176="羊"),ROW($N$3:N176))),IF(COUNTIF($N$3:N176,"猴")=0,10^9,LOOKUP(2,1/($N$3:N176="猴"),ROW($N$3:N176))),IF(COUNTIF($N$3:N176,"鸡")=0,10^9,LOOKUP(2,1/($N$3:N176="鸡"),ROW($N$3:N176))),IF(COUNTIF($N$3:N176,"狗")=0,10^9,LOOKUP(2,1/($N$3:N176="狗"),ROW($N$3:N176))),IF(COUNTIF($N$3:N176,"猪")=0,10^9,LOOKUP(2,1/($N$3:N176="猪"),ROW($N$3:N176))))-ROW($N$3)+1),""))),0,IF(ISNUMBER(J176),J176+1,1)))</f>
        <v/>
      </c>
      <c r="K177" s="5" t="e">
        <f t="shared" si="18"/>
        <v>#N/A</v>
      </c>
      <c r="M177" s="6" t="str">
        <f t="shared" si="14"/>
        <v/>
      </c>
      <c r="N177" s="2" t="e">
        <f t="shared" si="15"/>
        <v>#N/A</v>
      </c>
      <c r="O177" s="7" t="str">
        <f>IF(M177="","",IF(COUNTIF(M178:$M$1000,M177)&gt;0,"",M177))</f>
        <v/>
      </c>
      <c r="P177" s="8" t="e">
        <f>IF(N177="","",IF(COUNTIF(N178:$N$1000,N177)&gt;0,"",N177))</f>
        <v>#N/A</v>
      </c>
      <c r="Q177" s="21" t="e">
        <f t="shared" si="16"/>
        <v>#NUM!</v>
      </c>
      <c r="R177" s="22" t="e">
        <f t="shared" si="17"/>
        <v>#NUM!</v>
      </c>
      <c r="X177" s="2"/>
      <c r="Y177" s="2"/>
    </row>
    <row r="178" s="1" customFormat="1" spans="1:25">
      <c r="A178" s="2">
        <v>115056813</v>
      </c>
      <c r="B178" s="2"/>
      <c r="C178" s="2"/>
      <c r="D178" s="2"/>
      <c r="E178" s="2"/>
      <c r="F178" s="2"/>
      <c r="G178" s="2"/>
      <c r="H178" s="3"/>
      <c r="I178" s="2" t="e">
        <f t="shared" si="13"/>
        <v>#N/A</v>
      </c>
      <c r="J178" s="4" t="str">
        <f>IF(H178="","",IF(OR(AND(M178&lt;&gt;"",M178=IFERROR(INDEX($M$3:M177,MIN(IF(COUNTIF($M$3:M177,"0")=0,10^9,LOOKUP(2,1/($M$3:M177="0"),ROW($M$3:M177))),IF(COUNTIF($M$3:M177,"1")=0,10^9,LOOKUP(2,1/($M$3:M177="1"),ROW($M$3:M177))),IF(COUNTIF($M$3:M177,"2")=0,10^9,LOOKUP(2,1/($M$3:M177="2"),ROW($M$3:M177))),IF(COUNTIF($M$3:M177,"3")=0,10^9,LOOKUP(2,1/($M$3:M177="3"),ROW($M$3:M177))),IF(COUNTIF($M$3:M177,"4")=0,10^9,LOOKUP(2,1/($M$3:M177="4"),ROW($M$3:M177))),IF(COUNTIF($M$3:M177,"5")=0,10^9,LOOKUP(2,1/($M$3:M177="5"),ROW($M$3:M177))),IF(COUNTIF($M$3:M177,"6")=0,10^9,LOOKUP(2,1/($M$3:M177="6"),ROW($M$3:M177))),IF(COUNTIF($M$3:M177,"7")=0,10^9,LOOKUP(2,1/($M$3:M177="7"),ROW($M$3:M177))),IF(COUNTIF($M$3:M177,"8")=0,10^9,LOOKUP(2,1/($M$3:M177="8"),ROW($M$3:M177))),IF(COUNTIF($M$3:M177,"9")=0,10^9,LOOKUP(2,1/($M$3:M177="9"),ROW($M$3:M177))))-ROW($M$3)+1),"")),AND(N178&lt;&gt;"",N178=IFERROR(INDEX($N$3:N177,MIN(IF(COUNTIF($N$3:N177,"鼠")=0,10^9,LOOKUP(2,1/($N$3:N177="鼠"),ROW($N$3:N177))),IF(COUNTIF($N$3:N177,"牛")=0,10^9,LOOKUP(2,1/($N$3:N177="牛"),ROW($N$3:N177))),IF(COUNTIF($N$3:N177,"虎")=0,10^9,LOOKUP(2,1/($N$3:N177="虎"),ROW($N$3:N177))),IF(COUNTIF($N$3:N177,"兔")=0,10^9,LOOKUP(2,1/($N$3:N177="兔"),ROW($N$3:N177))),IF(COUNTIF($N$3:N177,"龙")=0,10^9,LOOKUP(2,1/($N$3:N177="龙"),ROW($N$3:N177))),IF(COUNTIF($N$3:N177,"蛇")=0,10^9,LOOKUP(2,1/($N$3:N177="蛇"),ROW($N$3:N177))),IF(COUNTIF($N$3:N177,"马")=0,10^9,LOOKUP(2,1/($N$3:N177="马"),ROW($N$3:N177))),IF(COUNTIF($N$3:N177,"羊")=0,10^9,LOOKUP(2,1/($N$3:N177="羊"),ROW($N$3:N177))),IF(COUNTIF($N$3:N177,"猴")=0,10^9,LOOKUP(2,1/($N$3:N177="猴"),ROW($N$3:N177))),IF(COUNTIF($N$3:N177,"鸡")=0,10^9,LOOKUP(2,1/($N$3:N177="鸡"),ROW($N$3:N177))),IF(COUNTIF($N$3:N177,"狗")=0,10^9,LOOKUP(2,1/($N$3:N177="狗"),ROW($N$3:N177))),IF(COUNTIF($N$3:N177,"猪")=0,10^9,LOOKUP(2,1/($N$3:N177="猪"),ROW($N$3:N177))))-ROW($N$3)+1),""))),0,IF(ISNUMBER(J177),J177+1,1)))</f>
        <v/>
      </c>
      <c r="K178" s="5" t="e">
        <f t="shared" si="18"/>
        <v>#N/A</v>
      </c>
      <c r="M178" s="6" t="str">
        <f t="shared" si="14"/>
        <v/>
      </c>
      <c r="N178" s="2" t="e">
        <f t="shared" si="15"/>
        <v>#N/A</v>
      </c>
      <c r="O178" s="7" t="str">
        <f>IF(M178="","",IF(COUNTIF(M179:$M$1000,M178)&gt;0,"",M178))</f>
        <v/>
      </c>
      <c r="P178" s="8" t="e">
        <f>IF(N178="","",IF(COUNTIF(N179:$N$1000,N178)&gt;0,"",N178))</f>
        <v>#N/A</v>
      </c>
      <c r="Q178" s="21" t="e">
        <f t="shared" si="16"/>
        <v>#NUM!</v>
      </c>
      <c r="R178" s="22" t="e">
        <f t="shared" si="17"/>
        <v>#NUM!</v>
      </c>
      <c r="X178" s="2"/>
      <c r="Y178" s="2"/>
    </row>
    <row r="179" s="1" customFormat="1" spans="1:25">
      <c r="A179" s="2">
        <v>115056814</v>
      </c>
      <c r="B179" s="2"/>
      <c r="C179" s="2"/>
      <c r="D179" s="2"/>
      <c r="E179" s="2"/>
      <c r="F179" s="2"/>
      <c r="G179" s="2"/>
      <c r="H179" s="3"/>
      <c r="I179" s="2" t="e">
        <f t="shared" si="13"/>
        <v>#N/A</v>
      </c>
      <c r="J179" s="4" t="str">
        <f>IF(H179="","",IF(OR(AND(M179&lt;&gt;"",M179=IFERROR(INDEX($M$3:M178,MIN(IF(COUNTIF($M$3:M178,"0")=0,10^9,LOOKUP(2,1/($M$3:M178="0"),ROW($M$3:M178))),IF(COUNTIF($M$3:M178,"1")=0,10^9,LOOKUP(2,1/($M$3:M178="1"),ROW($M$3:M178))),IF(COUNTIF($M$3:M178,"2")=0,10^9,LOOKUP(2,1/($M$3:M178="2"),ROW($M$3:M178))),IF(COUNTIF($M$3:M178,"3")=0,10^9,LOOKUP(2,1/($M$3:M178="3"),ROW($M$3:M178))),IF(COUNTIF($M$3:M178,"4")=0,10^9,LOOKUP(2,1/($M$3:M178="4"),ROW($M$3:M178))),IF(COUNTIF($M$3:M178,"5")=0,10^9,LOOKUP(2,1/($M$3:M178="5"),ROW($M$3:M178))),IF(COUNTIF($M$3:M178,"6")=0,10^9,LOOKUP(2,1/($M$3:M178="6"),ROW($M$3:M178))),IF(COUNTIF($M$3:M178,"7")=0,10^9,LOOKUP(2,1/($M$3:M178="7"),ROW($M$3:M178))),IF(COUNTIF($M$3:M178,"8")=0,10^9,LOOKUP(2,1/($M$3:M178="8"),ROW($M$3:M178))),IF(COUNTIF($M$3:M178,"9")=0,10^9,LOOKUP(2,1/($M$3:M178="9"),ROW($M$3:M178))))-ROW($M$3)+1),"")),AND(N179&lt;&gt;"",N179=IFERROR(INDEX($N$3:N178,MIN(IF(COUNTIF($N$3:N178,"鼠")=0,10^9,LOOKUP(2,1/($N$3:N178="鼠"),ROW($N$3:N178))),IF(COUNTIF($N$3:N178,"牛")=0,10^9,LOOKUP(2,1/($N$3:N178="牛"),ROW($N$3:N178))),IF(COUNTIF($N$3:N178,"虎")=0,10^9,LOOKUP(2,1/($N$3:N178="虎"),ROW($N$3:N178))),IF(COUNTIF($N$3:N178,"兔")=0,10^9,LOOKUP(2,1/($N$3:N178="兔"),ROW($N$3:N178))),IF(COUNTIF($N$3:N178,"龙")=0,10^9,LOOKUP(2,1/($N$3:N178="龙"),ROW($N$3:N178))),IF(COUNTIF($N$3:N178,"蛇")=0,10^9,LOOKUP(2,1/($N$3:N178="蛇"),ROW($N$3:N178))),IF(COUNTIF($N$3:N178,"马")=0,10^9,LOOKUP(2,1/($N$3:N178="马"),ROW($N$3:N178))),IF(COUNTIF($N$3:N178,"羊")=0,10^9,LOOKUP(2,1/($N$3:N178="羊"),ROW($N$3:N178))),IF(COUNTIF($N$3:N178,"猴")=0,10^9,LOOKUP(2,1/($N$3:N178="猴"),ROW($N$3:N178))),IF(COUNTIF($N$3:N178,"鸡")=0,10^9,LOOKUP(2,1/($N$3:N178="鸡"),ROW($N$3:N178))),IF(COUNTIF($N$3:N178,"狗")=0,10^9,LOOKUP(2,1/($N$3:N178="狗"),ROW($N$3:N178))),IF(COUNTIF($N$3:N178,"猪")=0,10^9,LOOKUP(2,1/($N$3:N178="猪"),ROW($N$3:N178))))-ROW($N$3)+1),""))),0,IF(ISNUMBER(J178),J178+1,1)))</f>
        <v/>
      </c>
      <c r="K179" s="5" t="e">
        <f t="shared" si="18"/>
        <v>#N/A</v>
      </c>
      <c r="M179" s="6" t="str">
        <f t="shared" si="14"/>
        <v/>
      </c>
      <c r="N179" s="2" t="e">
        <f t="shared" si="15"/>
        <v>#N/A</v>
      </c>
      <c r="O179" s="7" t="str">
        <f>IF(M179="","",IF(COUNTIF(M180:$M$1000,M179)&gt;0,"",M179))</f>
        <v/>
      </c>
      <c r="P179" s="8" t="e">
        <f>IF(N179="","",IF(COUNTIF(N180:$N$1000,N179)&gt;0,"",N179))</f>
        <v>#N/A</v>
      </c>
      <c r="Q179" s="21" t="e">
        <f t="shared" si="16"/>
        <v>#NUM!</v>
      </c>
      <c r="R179" s="22" t="e">
        <f t="shared" si="17"/>
        <v>#NUM!</v>
      </c>
      <c r="X179" s="2"/>
      <c r="Y179" s="2"/>
    </row>
    <row r="180" s="1" customFormat="1" spans="1:25">
      <c r="A180" s="2">
        <v>115056815</v>
      </c>
      <c r="B180" s="2"/>
      <c r="C180" s="2"/>
      <c r="D180" s="2"/>
      <c r="E180" s="2"/>
      <c r="F180" s="2"/>
      <c r="G180" s="2"/>
      <c r="H180" s="3"/>
      <c r="I180" s="2" t="e">
        <f t="shared" si="13"/>
        <v>#N/A</v>
      </c>
      <c r="J180" s="4" t="str">
        <f>IF(H180="","",IF(OR(AND(M180&lt;&gt;"",M180=IFERROR(INDEX($M$3:M179,MIN(IF(COUNTIF($M$3:M179,"0")=0,10^9,LOOKUP(2,1/($M$3:M179="0"),ROW($M$3:M179))),IF(COUNTIF($M$3:M179,"1")=0,10^9,LOOKUP(2,1/($M$3:M179="1"),ROW($M$3:M179))),IF(COUNTIF($M$3:M179,"2")=0,10^9,LOOKUP(2,1/($M$3:M179="2"),ROW($M$3:M179))),IF(COUNTIF($M$3:M179,"3")=0,10^9,LOOKUP(2,1/($M$3:M179="3"),ROW($M$3:M179))),IF(COUNTIF($M$3:M179,"4")=0,10^9,LOOKUP(2,1/($M$3:M179="4"),ROW($M$3:M179))),IF(COUNTIF($M$3:M179,"5")=0,10^9,LOOKUP(2,1/($M$3:M179="5"),ROW($M$3:M179))),IF(COUNTIF($M$3:M179,"6")=0,10^9,LOOKUP(2,1/($M$3:M179="6"),ROW($M$3:M179))),IF(COUNTIF($M$3:M179,"7")=0,10^9,LOOKUP(2,1/($M$3:M179="7"),ROW($M$3:M179))),IF(COUNTIF($M$3:M179,"8")=0,10^9,LOOKUP(2,1/($M$3:M179="8"),ROW($M$3:M179))),IF(COUNTIF($M$3:M179,"9")=0,10^9,LOOKUP(2,1/($M$3:M179="9"),ROW($M$3:M179))))-ROW($M$3)+1),"")),AND(N180&lt;&gt;"",N180=IFERROR(INDEX($N$3:N179,MIN(IF(COUNTIF($N$3:N179,"鼠")=0,10^9,LOOKUP(2,1/($N$3:N179="鼠"),ROW($N$3:N179))),IF(COUNTIF($N$3:N179,"牛")=0,10^9,LOOKUP(2,1/($N$3:N179="牛"),ROW($N$3:N179))),IF(COUNTIF($N$3:N179,"虎")=0,10^9,LOOKUP(2,1/($N$3:N179="虎"),ROW($N$3:N179))),IF(COUNTIF($N$3:N179,"兔")=0,10^9,LOOKUP(2,1/($N$3:N179="兔"),ROW($N$3:N179))),IF(COUNTIF($N$3:N179,"龙")=0,10^9,LOOKUP(2,1/($N$3:N179="龙"),ROW($N$3:N179))),IF(COUNTIF($N$3:N179,"蛇")=0,10^9,LOOKUP(2,1/($N$3:N179="蛇"),ROW($N$3:N179))),IF(COUNTIF($N$3:N179,"马")=0,10^9,LOOKUP(2,1/($N$3:N179="马"),ROW($N$3:N179))),IF(COUNTIF($N$3:N179,"羊")=0,10^9,LOOKUP(2,1/($N$3:N179="羊"),ROW($N$3:N179))),IF(COUNTIF($N$3:N179,"猴")=0,10^9,LOOKUP(2,1/($N$3:N179="猴"),ROW($N$3:N179))),IF(COUNTIF($N$3:N179,"鸡")=0,10^9,LOOKUP(2,1/($N$3:N179="鸡"),ROW($N$3:N179))),IF(COUNTIF($N$3:N179,"狗")=0,10^9,LOOKUP(2,1/($N$3:N179="狗"),ROW($N$3:N179))),IF(COUNTIF($N$3:N179,"猪")=0,10^9,LOOKUP(2,1/($N$3:N179="猪"),ROW($N$3:N179))))-ROW($N$3)+1),""))),0,IF(ISNUMBER(J179),J179+1,1)))</f>
        <v/>
      </c>
      <c r="K180" s="5" t="e">
        <f t="shared" si="18"/>
        <v>#N/A</v>
      </c>
      <c r="M180" s="6" t="str">
        <f t="shared" si="14"/>
        <v/>
      </c>
      <c r="N180" s="2" t="e">
        <f t="shared" si="15"/>
        <v>#N/A</v>
      </c>
      <c r="O180" s="7" t="str">
        <f>IF(M180="","",IF(COUNTIF(M181:$M$1000,M180)&gt;0,"",M180))</f>
        <v/>
      </c>
      <c r="P180" s="8" t="e">
        <f>IF(N180="","",IF(COUNTIF(N181:$N$1000,N180)&gt;0,"",N180))</f>
        <v>#N/A</v>
      </c>
      <c r="Q180" s="21" t="e">
        <f t="shared" si="16"/>
        <v>#NUM!</v>
      </c>
      <c r="R180" s="22" t="e">
        <f t="shared" si="17"/>
        <v>#NUM!</v>
      </c>
      <c r="X180" s="2"/>
      <c r="Y180" s="2"/>
    </row>
    <row r="181" s="1" customFormat="1" spans="1:25">
      <c r="A181" s="2">
        <v>115056816</v>
      </c>
      <c r="B181" s="2"/>
      <c r="C181" s="2"/>
      <c r="D181" s="2"/>
      <c r="E181" s="2"/>
      <c r="F181" s="2"/>
      <c r="G181" s="2"/>
      <c r="H181" s="3"/>
      <c r="I181" s="2" t="e">
        <f t="shared" si="13"/>
        <v>#N/A</v>
      </c>
      <c r="J181" s="4" t="str">
        <f>IF(H181="","",IF(OR(AND(M181&lt;&gt;"",M181=IFERROR(INDEX($M$3:M180,MIN(IF(COUNTIF($M$3:M180,"0")=0,10^9,LOOKUP(2,1/($M$3:M180="0"),ROW($M$3:M180))),IF(COUNTIF($M$3:M180,"1")=0,10^9,LOOKUP(2,1/($M$3:M180="1"),ROW($M$3:M180))),IF(COUNTIF($M$3:M180,"2")=0,10^9,LOOKUP(2,1/($M$3:M180="2"),ROW($M$3:M180))),IF(COUNTIF($M$3:M180,"3")=0,10^9,LOOKUP(2,1/($M$3:M180="3"),ROW($M$3:M180))),IF(COUNTIF($M$3:M180,"4")=0,10^9,LOOKUP(2,1/($M$3:M180="4"),ROW($M$3:M180))),IF(COUNTIF($M$3:M180,"5")=0,10^9,LOOKUP(2,1/($M$3:M180="5"),ROW($M$3:M180))),IF(COUNTIF($M$3:M180,"6")=0,10^9,LOOKUP(2,1/($M$3:M180="6"),ROW($M$3:M180))),IF(COUNTIF($M$3:M180,"7")=0,10^9,LOOKUP(2,1/($M$3:M180="7"),ROW($M$3:M180))),IF(COUNTIF($M$3:M180,"8")=0,10^9,LOOKUP(2,1/($M$3:M180="8"),ROW($M$3:M180))),IF(COUNTIF($M$3:M180,"9")=0,10^9,LOOKUP(2,1/($M$3:M180="9"),ROW($M$3:M180))))-ROW($M$3)+1),"")),AND(N181&lt;&gt;"",N181=IFERROR(INDEX($N$3:N180,MIN(IF(COUNTIF($N$3:N180,"鼠")=0,10^9,LOOKUP(2,1/($N$3:N180="鼠"),ROW($N$3:N180))),IF(COUNTIF($N$3:N180,"牛")=0,10^9,LOOKUP(2,1/($N$3:N180="牛"),ROW($N$3:N180))),IF(COUNTIF($N$3:N180,"虎")=0,10^9,LOOKUP(2,1/($N$3:N180="虎"),ROW($N$3:N180))),IF(COUNTIF($N$3:N180,"兔")=0,10^9,LOOKUP(2,1/($N$3:N180="兔"),ROW($N$3:N180))),IF(COUNTIF($N$3:N180,"龙")=0,10^9,LOOKUP(2,1/($N$3:N180="龙"),ROW($N$3:N180))),IF(COUNTIF($N$3:N180,"蛇")=0,10^9,LOOKUP(2,1/($N$3:N180="蛇"),ROW($N$3:N180))),IF(COUNTIF($N$3:N180,"马")=0,10^9,LOOKUP(2,1/($N$3:N180="马"),ROW($N$3:N180))),IF(COUNTIF($N$3:N180,"羊")=0,10^9,LOOKUP(2,1/($N$3:N180="羊"),ROW($N$3:N180))),IF(COUNTIF($N$3:N180,"猴")=0,10^9,LOOKUP(2,1/($N$3:N180="猴"),ROW($N$3:N180))),IF(COUNTIF($N$3:N180,"鸡")=0,10^9,LOOKUP(2,1/($N$3:N180="鸡"),ROW($N$3:N180))),IF(COUNTIF($N$3:N180,"狗")=0,10^9,LOOKUP(2,1/($N$3:N180="狗"),ROW($N$3:N180))),IF(COUNTIF($N$3:N180,"猪")=0,10^9,LOOKUP(2,1/($N$3:N180="猪"),ROW($N$3:N180))))-ROW($N$3)+1),""))),0,IF(ISNUMBER(J180),J180+1,1)))</f>
        <v/>
      </c>
      <c r="K181" s="5" t="e">
        <f t="shared" si="18"/>
        <v>#N/A</v>
      </c>
      <c r="M181" s="6" t="str">
        <f t="shared" si="14"/>
        <v/>
      </c>
      <c r="N181" s="2" t="e">
        <f t="shared" si="15"/>
        <v>#N/A</v>
      </c>
      <c r="O181" s="7" t="str">
        <f>IF(M181="","",IF(COUNTIF(M182:$M$1000,M181)&gt;0,"",M181))</f>
        <v/>
      </c>
      <c r="P181" s="8" t="e">
        <f>IF(N181="","",IF(COUNTIF(N182:$N$1000,N181)&gt;0,"",N181))</f>
        <v>#N/A</v>
      </c>
      <c r="Q181" s="21" t="e">
        <f t="shared" si="16"/>
        <v>#NUM!</v>
      </c>
      <c r="R181" s="22" t="e">
        <f t="shared" si="17"/>
        <v>#NUM!</v>
      </c>
      <c r="X181" s="2"/>
      <c r="Y181" s="2"/>
    </row>
    <row r="182" s="1" customFormat="1" spans="1:25">
      <c r="A182" s="2">
        <v>115056817</v>
      </c>
      <c r="B182" s="2"/>
      <c r="C182" s="2"/>
      <c r="D182" s="2"/>
      <c r="E182" s="2"/>
      <c r="F182" s="2"/>
      <c r="G182" s="2"/>
      <c r="H182" s="3"/>
      <c r="I182" s="2" t="e">
        <f t="shared" si="13"/>
        <v>#N/A</v>
      </c>
      <c r="J182" s="4" t="str">
        <f>IF(H182="","",IF(OR(AND(M182&lt;&gt;"",M182=IFERROR(INDEX($M$3:M181,MIN(IF(COUNTIF($M$3:M181,"0")=0,10^9,LOOKUP(2,1/($M$3:M181="0"),ROW($M$3:M181))),IF(COUNTIF($M$3:M181,"1")=0,10^9,LOOKUP(2,1/($M$3:M181="1"),ROW($M$3:M181))),IF(COUNTIF($M$3:M181,"2")=0,10^9,LOOKUP(2,1/($M$3:M181="2"),ROW($M$3:M181))),IF(COUNTIF($M$3:M181,"3")=0,10^9,LOOKUP(2,1/($M$3:M181="3"),ROW($M$3:M181))),IF(COUNTIF($M$3:M181,"4")=0,10^9,LOOKUP(2,1/($M$3:M181="4"),ROW($M$3:M181))),IF(COUNTIF($M$3:M181,"5")=0,10^9,LOOKUP(2,1/($M$3:M181="5"),ROW($M$3:M181))),IF(COUNTIF($M$3:M181,"6")=0,10^9,LOOKUP(2,1/($M$3:M181="6"),ROW($M$3:M181))),IF(COUNTIF($M$3:M181,"7")=0,10^9,LOOKUP(2,1/($M$3:M181="7"),ROW($M$3:M181))),IF(COUNTIF($M$3:M181,"8")=0,10^9,LOOKUP(2,1/($M$3:M181="8"),ROW($M$3:M181))),IF(COUNTIF($M$3:M181,"9")=0,10^9,LOOKUP(2,1/($M$3:M181="9"),ROW($M$3:M181))))-ROW($M$3)+1),"")),AND(N182&lt;&gt;"",N182=IFERROR(INDEX($N$3:N181,MIN(IF(COUNTIF($N$3:N181,"鼠")=0,10^9,LOOKUP(2,1/($N$3:N181="鼠"),ROW($N$3:N181))),IF(COUNTIF($N$3:N181,"牛")=0,10^9,LOOKUP(2,1/($N$3:N181="牛"),ROW($N$3:N181))),IF(COUNTIF($N$3:N181,"虎")=0,10^9,LOOKUP(2,1/($N$3:N181="虎"),ROW($N$3:N181))),IF(COUNTIF($N$3:N181,"兔")=0,10^9,LOOKUP(2,1/($N$3:N181="兔"),ROW($N$3:N181))),IF(COUNTIF($N$3:N181,"龙")=0,10^9,LOOKUP(2,1/($N$3:N181="龙"),ROW($N$3:N181))),IF(COUNTIF($N$3:N181,"蛇")=0,10^9,LOOKUP(2,1/($N$3:N181="蛇"),ROW($N$3:N181))),IF(COUNTIF($N$3:N181,"马")=0,10^9,LOOKUP(2,1/($N$3:N181="马"),ROW($N$3:N181))),IF(COUNTIF($N$3:N181,"羊")=0,10^9,LOOKUP(2,1/($N$3:N181="羊"),ROW($N$3:N181))),IF(COUNTIF($N$3:N181,"猴")=0,10^9,LOOKUP(2,1/($N$3:N181="猴"),ROW($N$3:N181))),IF(COUNTIF($N$3:N181,"鸡")=0,10^9,LOOKUP(2,1/($N$3:N181="鸡"),ROW($N$3:N181))),IF(COUNTIF($N$3:N181,"狗")=0,10^9,LOOKUP(2,1/($N$3:N181="狗"),ROW($N$3:N181))),IF(COUNTIF($N$3:N181,"猪")=0,10^9,LOOKUP(2,1/($N$3:N181="猪"),ROW($N$3:N181))))-ROW($N$3)+1),""))),0,IF(ISNUMBER(J181),J181+1,1)))</f>
        <v/>
      </c>
      <c r="K182" s="5" t="e">
        <f t="shared" si="18"/>
        <v>#N/A</v>
      </c>
      <c r="M182" s="6" t="str">
        <f t="shared" si="14"/>
        <v/>
      </c>
      <c r="N182" s="2" t="e">
        <f t="shared" si="15"/>
        <v>#N/A</v>
      </c>
      <c r="O182" s="7" t="str">
        <f>IF(M182="","",IF(COUNTIF(M183:$M$1000,M182)&gt;0,"",M182))</f>
        <v/>
      </c>
      <c r="P182" s="8" t="e">
        <f>IF(N182="","",IF(COUNTIF(N183:$N$1000,N182)&gt;0,"",N182))</f>
        <v>#N/A</v>
      </c>
      <c r="Q182" s="21" t="e">
        <f t="shared" si="16"/>
        <v>#NUM!</v>
      </c>
      <c r="R182" s="22" t="e">
        <f t="shared" si="17"/>
        <v>#NUM!</v>
      </c>
      <c r="X182" s="2"/>
      <c r="Y182" s="2"/>
    </row>
    <row r="183" s="1" customFormat="1" spans="1:25">
      <c r="A183" s="2">
        <v>115056818</v>
      </c>
      <c r="B183" s="2"/>
      <c r="C183" s="2"/>
      <c r="D183" s="2"/>
      <c r="E183" s="2"/>
      <c r="F183" s="2"/>
      <c r="G183" s="2"/>
      <c r="H183" s="3"/>
      <c r="I183" s="2" t="e">
        <f t="shared" si="13"/>
        <v>#N/A</v>
      </c>
      <c r="J183" s="4" t="str">
        <f>IF(H183="","",IF(OR(AND(M183&lt;&gt;"",M183=IFERROR(INDEX($M$3:M182,MIN(IF(COUNTIF($M$3:M182,"0")=0,10^9,LOOKUP(2,1/($M$3:M182="0"),ROW($M$3:M182))),IF(COUNTIF($M$3:M182,"1")=0,10^9,LOOKUP(2,1/($M$3:M182="1"),ROW($M$3:M182))),IF(COUNTIF($M$3:M182,"2")=0,10^9,LOOKUP(2,1/($M$3:M182="2"),ROW($M$3:M182))),IF(COUNTIF($M$3:M182,"3")=0,10^9,LOOKUP(2,1/($M$3:M182="3"),ROW($M$3:M182))),IF(COUNTIF($M$3:M182,"4")=0,10^9,LOOKUP(2,1/($M$3:M182="4"),ROW($M$3:M182))),IF(COUNTIF($M$3:M182,"5")=0,10^9,LOOKUP(2,1/($M$3:M182="5"),ROW($M$3:M182))),IF(COUNTIF($M$3:M182,"6")=0,10^9,LOOKUP(2,1/($M$3:M182="6"),ROW($M$3:M182))),IF(COUNTIF($M$3:M182,"7")=0,10^9,LOOKUP(2,1/($M$3:M182="7"),ROW($M$3:M182))),IF(COUNTIF($M$3:M182,"8")=0,10^9,LOOKUP(2,1/($M$3:M182="8"),ROW($M$3:M182))),IF(COUNTIF($M$3:M182,"9")=0,10^9,LOOKUP(2,1/($M$3:M182="9"),ROW($M$3:M182))))-ROW($M$3)+1),"")),AND(N183&lt;&gt;"",N183=IFERROR(INDEX($N$3:N182,MIN(IF(COUNTIF($N$3:N182,"鼠")=0,10^9,LOOKUP(2,1/($N$3:N182="鼠"),ROW($N$3:N182))),IF(COUNTIF($N$3:N182,"牛")=0,10^9,LOOKUP(2,1/($N$3:N182="牛"),ROW($N$3:N182))),IF(COUNTIF($N$3:N182,"虎")=0,10^9,LOOKUP(2,1/($N$3:N182="虎"),ROW($N$3:N182))),IF(COUNTIF($N$3:N182,"兔")=0,10^9,LOOKUP(2,1/($N$3:N182="兔"),ROW($N$3:N182))),IF(COUNTIF($N$3:N182,"龙")=0,10^9,LOOKUP(2,1/($N$3:N182="龙"),ROW($N$3:N182))),IF(COUNTIF($N$3:N182,"蛇")=0,10^9,LOOKUP(2,1/($N$3:N182="蛇"),ROW($N$3:N182))),IF(COUNTIF($N$3:N182,"马")=0,10^9,LOOKUP(2,1/($N$3:N182="马"),ROW($N$3:N182))),IF(COUNTIF($N$3:N182,"羊")=0,10^9,LOOKUP(2,1/($N$3:N182="羊"),ROW($N$3:N182))),IF(COUNTIF($N$3:N182,"猴")=0,10^9,LOOKUP(2,1/($N$3:N182="猴"),ROW($N$3:N182))),IF(COUNTIF($N$3:N182,"鸡")=0,10^9,LOOKUP(2,1/($N$3:N182="鸡"),ROW($N$3:N182))),IF(COUNTIF($N$3:N182,"狗")=0,10^9,LOOKUP(2,1/($N$3:N182="狗"),ROW($N$3:N182))),IF(COUNTIF($N$3:N182,"猪")=0,10^9,LOOKUP(2,1/($N$3:N182="猪"),ROW($N$3:N182))))-ROW($N$3)+1),""))),0,IF(ISNUMBER(J182),J182+1,1)))</f>
        <v/>
      </c>
      <c r="K183" s="5" t="e">
        <f t="shared" si="18"/>
        <v>#N/A</v>
      </c>
      <c r="M183" s="6" t="str">
        <f t="shared" si="14"/>
        <v/>
      </c>
      <c r="N183" s="2" t="e">
        <f t="shared" si="15"/>
        <v>#N/A</v>
      </c>
      <c r="O183" s="7" t="str">
        <f>IF(M183="","",IF(COUNTIF(M184:$M$1000,M183)&gt;0,"",M183))</f>
        <v/>
      </c>
      <c r="P183" s="8" t="e">
        <f>IF(N183="","",IF(COUNTIF(N184:$N$1000,N183)&gt;0,"",N183))</f>
        <v>#N/A</v>
      </c>
      <c r="Q183" s="21" t="e">
        <f t="shared" si="16"/>
        <v>#NUM!</v>
      </c>
      <c r="R183" s="22" t="e">
        <f t="shared" si="17"/>
        <v>#NUM!</v>
      </c>
      <c r="X183" s="2"/>
      <c r="Y183" s="2"/>
    </row>
    <row r="184" s="1" customFormat="1" spans="1:25">
      <c r="A184" s="2">
        <v>115056819</v>
      </c>
      <c r="B184" s="2"/>
      <c r="C184" s="2"/>
      <c r="D184" s="2"/>
      <c r="E184" s="2"/>
      <c r="F184" s="2"/>
      <c r="G184" s="2"/>
      <c r="H184" s="3"/>
      <c r="I184" s="2" t="e">
        <f t="shared" si="13"/>
        <v>#N/A</v>
      </c>
      <c r="J184" s="4" t="str">
        <f>IF(H184="","",IF(OR(AND(M184&lt;&gt;"",M184=IFERROR(INDEX($M$3:M183,MIN(IF(COUNTIF($M$3:M183,"0")=0,10^9,LOOKUP(2,1/($M$3:M183="0"),ROW($M$3:M183))),IF(COUNTIF($M$3:M183,"1")=0,10^9,LOOKUP(2,1/($M$3:M183="1"),ROW($M$3:M183))),IF(COUNTIF($M$3:M183,"2")=0,10^9,LOOKUP(2,1/($M$3:M183="2"),ROW($M$3:M183))),IF(COUNTIF($M$3:M183,"3")=0,10^9,LOOKUP(2,1/($M$3:M183="3"),ROW($M$3:M183))),IF(COUNTIF($M$3:M183,"4")=0,10^9,LOOKUP(2,1/($M$3:M183="4"),ROW($M$3:M183))),IF(COUNTIF($M$3:M183,"5")=0,10^9,LOOKUP(2,1/($M$3:M183="5"),ROW($M$3:M183))),IF(COUNTIF($M$3:M183,"6")=0,10^9,LOOKUP(2,1/($M$3:M183="6"),ROW($M$3:M183))),IF(COUNTIF($M$3:M183,"7")=0,10^9,LOOKUP(2,1/($M$3:M183="7"),ROW($M$3:M183))),IF(COUNTIF($M$3:M183,"8")=0,10^9,LOOKUP(2,1/($M$3:M183="8"),ROW($M$3:M183))),IF(COUNTIF($M$3:M183,"9")=0,10^9,LOOKUP(2,1/($M$3:M183="9"),ROW($M$3:M183))))-ROW($M$3)+1),"")),AND(N184&lt;&gt;"",N184=IFERROR(INDEX($N$3:N183,MIN(IF(COUNTIF($N$3:N183,"鼠")=0,10^9,LOOKUP(2,1/($N$3:N183="鼠"),ROW($N$3:N183))),IF(COUNTIF($N$3:N183,"牛")=0,10^9,LOOKUP(2,1/($N$3:N183="牛"),ROW($N$3:N183))),IF(COUNTIF($N$3:N183,"虎")=0,10^9,LOOKUP(2,1/($N$3:N183="虎"),ROW($N$3:N183))),IF(COUNTIF($N$3:N183,"兔")=0,10^9,LOOKUP(2,1/($N$3:N183="兔"),ROW($N$3:N183))),IF(COUNTIF($N$3:N183,"龙")=0,10^9,LOOKUP(2,1/($N$3:N183="龙"),ROW($N$3:N183))),IF(COUNTIF($N$3:N183,"蛇")=0,10^9,LOOKUP(2,1/($N$3:N183="蛇"),ROW($N$3:N183))),IF(COUNTIF($N$3:N183,"马")=0,10^9,LOOKUP(2,1/($N$3:N183="马"),ROW($N$3:N183))),IF(COUNTIF($N$3:N183,"羊")=0,10^9,LOOKUP(2,1/($N$3:N183="羊"),ROW($N$3:N183))),IF(COUNTIF($N$3:N183,"猴")=0,10^9,LOOKUP(2,1/($N$3:N183="猴"),ROW($N$3:N183))),IF(COUNTIF($N$3:N183,"鸡")=0,10^9,LOOKUP(2,1/($N$3:N183="鸡"),ROW($N$3:N183))),IF(COUNTIF($N$3:N183,"狗")=0,10^9,LOOKUP(2,1/($N$3:N183="狗"),ROW($N$3:N183))),IF(COUNTIF($N$3:N183,"猪")=0,10^9,LOOKUP(2,1/($N$3:N183="猪"),ROW($N$3:N183))))-ROW($N$3)+1),""))),0,IF(ISNUMBER(J183),J183+1,1)))</f>
        <v/>
      </c>
      <c r="K184" s="5" t="e">
        <f t="shared" si="18"/>
        <v>#N/A</v>
      </c>
      <c r="M184" s="6" t="str">
        <f t="shared" si="14"/>
        <v/>
      </c>
      <c r="N184" s="2" t="e">
        <f t="shared" si="15"/>
        <v>#N/A</v>
      </c>
      <c r="O184" s="7" t="str">
        <f>IF(M184="","",IF(COUNTIF(M185:$M$1000,M184)&gt;0,"",M184))</f>
        <v/>
      </c>
      <c r="P184" s="8" t="e">
        <f>IF(N184="","",IF(COUNTIF(N185:$N$1000,N184)&gt;0,"",N184))</f>
        <v>#N/A</v>
      </c>
      <c r="Q184" s="21" t="e">
        <f t="shared" si="16"/>
        <v>#NUM!</v>
      </c>
      <c r="R184" s="22" t="e">
        <f t="shared" si="17"/>
        <v>#NUM!</v>
      </c>
      <c r="X184" s="2"/>
      <c r="Y184" s="2"/>
    </row>
    <row r="185" s="1" customFormat="1" spans="1:25">
      <c r="A185" s="2">
        <v>115056820</v>
      </c>
      <c r="B185" s="2"/>
      <c r="C185" s="2"/>
      <c r="D185" s="2"/>
      <c r="E185" s="2"/>
      <c r="F185" s="2"/>
      <c r="G185" s="2"/>
      <c r="H185" s="3"/>
      <c r="I185" s="2" t="e">
        <f t="shared" si="13"/>
        <v>#N/A</v>
      </c>
      <c r="J185" s="4" t="str">
        <f>IF(H185="","",IF(OR(AND(M185&lt;&gt;"",M185=IFERROR(INDEX($M$3:M184,MIN(IF(COUNTIF($M$3:M184,"0")=0,10^9,LOOKUP(2,1/($M$3:M184="0"),ROW($M$3:M184))),IF(COUNTIF($M$3:M184,"1")=0,10^9,LOOKUP(2,1/($M$3:M184="1"),ROW($M$3:M184))),IF(COUNTIF($M$3:M184,"2")=0,10^9,LOOKUP(2,1/($M$3:M184="2"),ROW($M$3:M184))),IF(COUNTIF($M$3:M184,"3")=0,10^9,LOOKUP(2,1/($M$3:M184="3"),ROW($M$3:M184))),IF(COUNTIF($M$3:M184,"4")=0,10^9,LOOKUP(2,1/($M$3:M184="4"),ROW($M$3:M184))),IF(COUNTIF($M$3:M184,"5")=0,10^9,LOOKUP(2,1/($M$3:M184="5"),ROW($M$3:M184))),IF(COUNTIF($M$3:M184,"6")=0,10^9,LOOKUP(2,1/($M$3:M184="6"),ROW($M$3:M184))),IF(COUNTIF($M$3:M184,"7")=0,10^9,LOOKUP(2,1/($M$3:M184="7"),ROW($M$3:M184))),IF(COUNTIF($M$3:M184,"8")=0,10^9,LOOKUP(2,1/($M$3:M184="8"),ROW($M$3:M184))),IF(COUNTIF($M$3:M184,"9")=0,10^9,LOOKUP(2,1/($M$3:M184="9"),ROW($M$3:M184))))-ROW($M$3)+1),"")),AND(N185&lt;&gt;"",N185=IFERROR(INDEX($N$3:N184,MIN(IF(COUNTIF($N$3:N184,"鼠")=0,10^9,LOOKUP(2,1/($N$3:N184="鼠"),ROW($N$3:N184))),IF(COUNTIF($N$3:N184,"牛")=0,10^9,LOOKUP(2,1/($N$3:N184="牛"),ROW($N$3:N184))),IF(COUNTIF($N$3:N184,"虎")=0,10^9,LOOKUP(2,1/($N$3:N184="虎"),ROW($N$3:N184))),IF(COUNTIF($N$3:N184,"兔")=0,10^9,LOOKUP(2,1/($N$3:N184="兔"),ROW($N$3:N184))),IF(COUNTIF($N$3:N184,"龙")=0,10^9,LOOKUP(2,1/($N$3:N184="龙"),ROW($N$3:N184))),IF(COUNTIF($N$3:N184,"蛇")=0,10^9,LOOKUP(2,1/($N$3:N184="蛇"),ROW($N$3:N184))),IF(COUNTIF($N$3:N184,"马")=0,10^9,LOOKUP(2,1/($N$3:N184="马"),ROW($N$3:N184))),IF(COUNTIF($N$3:N184,"羊")=0,10^9,LOOKUP(2,1/($N$3:N184="羊"),ROW($N$3:N184))),IF(COUNTIF($N$3:N184,"猴")=0,10^9,LOOKUP(2,1/($N$3:N184="猴"),ROW($N$3:N184))),IF(COUNTIF($N$3:N184,"鸡")=0,10^9,LOOKUP(2,1/($N$3:N184="鸡"),ROW($N$3:N184))),IF(COUNTIF($N$3:N184,"狗")=0,10^9,LOOKUP(2,1/($N$3:N184="狗"),ROW($N$3:N184))),IF(COUNTIF($N$3:N184,"猪")=0,10^9,LOOKUP(2,1/($N$3:N184="猪"),ROW($N$3:N184))))-ROW($N$3)+1),""))),0,IF(ISNUMBER(J184),J184+1,1)))</f>
        <v/>
      </c>
      <c r="K185" s="5" t="e">
        <f t="shared" si="18"/>
        <v>#N/A</v>
      </c>
      <c r="M185" s="6" t="str">
        <f t="shared" si="14"/>
        <v/>
      </c>
      <c r="N185" s="2" t="e">
        <f t="shared" si="15"/>
        <v>#N/A</v>
      </c>
      <c r="O185" s="7" t="str">
        <f>IF(M185="","",IF(COUNTIF(M186:$M$1000,M185)&gt;0,"",M185))</f>
        <v/>
      </c>
      <c r="P185" s="8" t="e">
        <f>IF(N185="","",IF(COUNTIF(N186:$N$1000,N185)&gt;0,"",N185))</f>
        <v>#N/A</v>
      </c>
      <c r="Q185" s="21" t="e">
        <f t="shared" si="16"/>
        <v>#NUM!</v>
      </c>
      <c r="R185" s="22" t="e">
        <f t="shared" si="17"/>
        <v>#NUM!</v>
      </c>
      <c r="X185" s="2"/>
      <c r="Y185" s="2"/>
    </row>
    <row r="186" s="1" customFormat="1" spans="1:25">
      <c r="A186" s="2">
        <v>115056821</v>
      </c>
      <c r="B186" s="2"/>
      <c r="C186" s="2"/>
      <c r="D186" s="2"/>
      <c r="E186" s="2"/>
      <c r="F186" s="2"/>
      <c r="G186" s="2"/>
      <c r="H186" s="3"/>
      <c r="I186" s="2" t="e">
        <f t="shared" si="13"/>
        <v>#N/A</v>
      </c>
      <c r="J186" s="4" t="str">
        <f>IF(H186="","",IF(OR(AND(M186&lt;&gt;"",M186=IFERROR(INDEX($M$3:M185,MIN(IF(COUNTIF($M$3:M185,"0")=0,10^9,LOOKUP(2,1/($M$3:M185="0"),ROW($M$3:M185))),IF(COUNTIF($M$3:M185,"1")=0,10^9,LOOKUP(2,1/($M$3:M185="1"),ROW($M$3:M185))),IF(COUNTIF($M$3:M185,"2")=0,10^9,LOOKUP(2,1/($M$3:M185="2"),ROW($M$3:M185))),IF(COUNTIF($M$3:M185,"3")=0,10^9,LOOKUP(2,1/($M$3:M185="3"),ROW($M$3:M185))),IF(COUNTIF($M$3:M185,"4")=0,10^9,LOOKUP(2,1/($M$3:M185="4"),ROW($M$3:M185))),IF(COUNTIF($M$3:M185,"5")=0,10^9,LOOKUP(2,1/($M$3:M185="5"),ROW($M$3:M185))),IF(COUNTIF($M$3:M185,"6")=0,10^9,LOOKUP(2,1/($M$3:M185="6"),ROW($M$3:M185))),IF(COUNTIF($M$3:M185,"7")=0,10^9,LOOKUP(2,1/($M$3:M185="7"),ROW($M$3:M185))),IF(COUNTIF($M$3:M185,"8")=0,10^9,LOOKUP(2,1/($M$3:M185="8"),ROW($M$3:M185))),IF(COUNTIF($M$3:M185,"9")=0,10^9,LOOKUP(2,1/($M$3:M185="9"),ROW($M$3:M185))))-ROW($M$3)+1),"")),AND(N186&lt;&gt;"",N186=IFERROR(INDEX($N$3:N185,MIN(IF(COUNTIF($N$3:N185,"鼠")=0,10^9,LOOKUP(2,1/($N$3:N185="鼠"),ROW($N$3:N185))),IF(COUNTIF($N$3:N185,"牛")=0,10^9,LOOKUP(2,1/($N$3:N185="牛"),ROW($N$3:N185))),IF(COUNTIF($N$3:N185,"虎")=0,10^9,LOOKUP(2,1/($N$3:N185="虎"),ROW($N$3:N185))),IF(COUNTIF($N$3:N185,"兔")=0,10^9,LOOKUP(2,1/($N$3:N185="兔"),ROW($N$3:N185))),IF(COUNTIF($N$3:N185,"龙")=0,10^9,LOOKUP(2,1/($N$3:N185="龙"),ROW($N$3:N185))),IF(COUNTIF($N$3:N185,"蛇")=0,10^9,LOOKUP(2,1/($N$3:N185="蛇"),ROW($N$3:N185))),IF(COUNTIF($N$3:N185,"马")=0,10^9,LOOKUP(2,1/($N$3:N185="马"),ROW($N$3:N185))),IF(COUNTIF($N$3:N185,"羊")=0,10^9,LOOKUP(2,1/($N$3:N185="羊"),ROW($N$3:N185))),IF(COUNTIF($N$3:N185,"猴")=0,10^9,LOOKUP(2,1/($N$3:N185="猴"),ROW($N$3:N185))),IF(COUNTIF($N$3:N185,"鸡")=0,10^9,LOOKUP(2,1/($N$3:N185="鸡"),ROW($N$3:N185))),IF(COUNTIF($N$3:N185,"狗")=0,10^9,LOOKUP(2,1/($N$3:N185="狗"),ROW($N$3:N185))),IF(COUNTIF($N$3:N185,"猪")=0,10^9,LOOKUP(2,1/($N$3:N185="猪"),ROW($N$3:N185))))-ROW($N$3)+1),""))),0,IF(ISNUMBER(J185),J185+1,1)))</f>
        <v/>
      </c>
      <c r="K186" s="5" t="e">
        <f t="shared" si="18"/>
        <v>#N/A</v>
      </c>
      <c r="M186" s="6" t="str">
        <f t="shared" si="14"/>
        <v/>
      </c>
      <c r="N186" s="2" t="e">
        <f t="shared" si="15"/>
        <v>#N/A</v>
      </c>
      <c r="O186" s="7" t="str">
        <f>IF(M186="","",IF(COUNTIF(M187:$M$1000,M186)&gt;0,"",M186))</f>
        <v/>
      </c>
      <c r="P186" s="8" t="e">
        <f>IF(N186="","",IF(COUNTIF(N187:$N$1000,N186)&gt;0,"",N186))</f>
        <v>#N/A</v>
      </c>
      <c r="Q186" s="21" t="e">
        <f t="shared" si="16"/>
        <v>#NUM!</v>
      </c>
      <c r="R186" s="22" t="e">
        <f t="shared" si="17"/>
        <v>#NUM!</v>
      </c>
      <c r="X186" s="2"/>
      <c r="Y186" s="2"/>
    </row>
    <row r="187" s="1" customFormat="1" spans="1:25">
      <c r="A187" s="2">
        <v>115056822</v>
      </c>
      <c r="B187" s="2"/>
      <c r="C187" s="2"/>
      <c r="D187" s="2"/>
      <c r="E187" s="2"/>
      <c r="F187" s="2"/>
      <c r="G187" s="2"/>
      <c r="H187" s="3"/>
      <c r="I187" s="2" t="e">
        <f t="shared" si="13"/>
        <v>#N/A</v>
      </c>
      <c r="J187" s="4" t="str">
        <f>IF(H187="","",IF(OR(AND(M187&lt;&gt;"",M187=IFERROR(INDEX($M$3:M186,MIN(IF(COUNTIF($M$3:M186,"0")=0,10^9,LOOKUP(2,1/($M$3:M186="0"),ROW($M$3:M186))),IF(COUNTIF($M$3:M186,"1")=0,10^9,LOOKUP(2,1/($M$3:M186="1"),ROW($M$3:M186))),IF(COUNTIF($M$3:M186,"2")=0,10^9,LOOKUP(2,1/($M$3:M186="2"),ROW($M$3:M186))),IF(COUNTIF($M$3:M186,"3")=0,10^9,LOOKUP(2,1/($M$3:M186="3"),ROW($M$3:M186))),IF(COUNTIF($M$3:M186,"4")=0,10^9,LOOKUP(2,1/($M$3:M186="4"),ROW($M$3:M186))),IF(COUNTIF($M$3:M186,"5")=0,10^9,LOOKUP(2,1/($M$3:M186="5"),ROW($M$3:M186))),IF(COUNTIF($M$3:M186,"6")=0,10^9,LOOKUP(2,1/($M$3:M186="6"),ROW($M$3:M186))),IF(COUNTIF($M$3:M186,"7")=0,10^9,LOOKUP(2,1/($M$3:M186="7"),ROW($M$3:M186))),IF(COUNTIF($M$3:M186,"8")=0,10^9,LOOKUP(2,1/($M$3:M186="8"),ROW($M$3:M186))),IF(COUNTIF($M$3:M186,"9")=0,10^9,LOOKUP(2,1/($M$3:M186="9"),ROW($M$3:M186))))-ROW($M$3)+1),"")),AND(N187&lt;&gt;"",N187=IFERROR(INDEX($N$3:N186,MIN(IF(COUNTIF($N$3:N186,"鼠")=0,10^9,LOOKUP(2,1/($N$3:N186="鼠"),ROW($N$3:N186))),IF(COUNTIF($N$3:N186,"牛")=0,10^9,LOOKUP(2,1/($N$3:N186="牛"),ROW($N$3:N186))),IF(COUNTIF($N$3:N186,"虎")=0,10^9,LOOKUP(2,1/($N$3:N186="虎"),ROW($N$3:N186))),IF(COUNTIF($N$3:N186,"兔")=0,10^9,LOOKUP(2,1/($N$3:N186="兔"),ROW($N$3:N186))),IF(COUNTIF($N$3:N186,"龙")=0,10^9,LOOKUP(2,1/($N$3:N186="龙"),ROW($N$3:N186))),IF(COUNTIF($N$3:N186,"蛇")=0,10^9,LOOKUP(2,1/($N$3:N186="蛇"),ROW($N$3:N186))),IF(COUNTIF($N$3:N186,"马")=0,10^9,LOOKUP(2,1/($N$3:N186="马"),ROW($N$3:N186))),IF(COUNTIF($N$3:N186,"羊")=0,10^9,LOOKUP(2,1/($N$3:N186="羊"),ROW($N$3:N186))),IF(COUNTIF($N$3:N186,"猴")=0,10^9,LOOKUP(2,1/($N$3:N186="猴"),ROW($N$3:N186))),IF(COUNTIF($N$3:N186,"鸡")=0,10^9,LOOKUP(2,1/($N$3:N186="鸡"),ROW($N$3:N186))),IF(COUNTIF($N$3:N186,"狗")=0,10^9,LOOKUP(2,1/($N$3:N186="狗"),ROW($N$3:N186))),IF(COUNTIF($N$3:N186,"猪")=0,10^9,LOOKUP(2,1/($N$3:N186="猪"),ROW($N$3:N186))))-ROW($N$3)+1),""))),0,IF(ISNUMBER(J186),J186+1,1)))</f>
        <v/>
      </c>
      <c r="K187" s="5" t="e">
        <f t="shared" si="18"/>
        <v>#N/A</v>
      </c>
      <c r="M187" s="6" t="str">
        <f t="shared" si="14"/>
        <v/>
      </c>
      <c r="N187" s="2" t="e">
        <f t="shared" si="15"/>
        <v>#N/A</v>
      </c>
      <c r="O187" s="7" t="str">
        <f>IF(M187="","",IF(COUNTIF(M188:$M$1000,M187)&gt;0,"",M187))</f>
        <v/>
      </c>
      <c r="P187" s="8" t="e">
        <f>IF(N187="","",IF(COUNTIF(N188:$N$1000,N187)&gt;0,"",N187))</f>
        <v>#N/A</v>
      </c>
      <c r="Q187" s="21" t="e">
        <f t="shared" si="16"/>
        <v>#NUM!</v>
      </c>
      <c r="R187" s="22" t="e">
        <f t="shared" si="17"/>
        <v>#NUM!</v>
      </c>
      <c r="X187" s="2"/>
      <c r="Y187" s="2"/>
    </row>
    <row r="188" s="1" customFormat="1" spans="1:25">
      <c r="A188" s="2">
        <v>115056823</v>
      </c>
      <c r="B188" s="2"/>
      <c r="C188" s="2"/>
      <c r="D188" s="2"/>
      <c r="E188" s="2"/>
      <c r="F188" s="2"/>
      <c r="G188" s="2"/>
      <c r="H188" s="3"/>
      <c r="I188" s="2" t="e">
        <f t="shared" si="13"/>
        <v>#N/A</v>
      </c>
      <c r="J188" s="4" t="str">
        <f>IF(H188="","",IF(OR(AND(M188&lt;&gt;"",M188=IFERROR(INDEX($M$3:M187,MIN(IF(COUNTIF($M$3:M187,"0")=0,10^9,LOOKUP(2,1/($M$3:M187="0"),ROW($M$3:M187))),IF(COUNTIF($M$3:M187,"1")=0,10^9,LOOKUP(2,1/($M$3:M187="1"),ROW($M$3:M187))),IF(COUNTIF($M$3:M187,"2")=0,10^9,LOOKUP(2,1/($M$3:M187="2"),ROW($M$3:M187))),IF(COUNTIF($M$3:M187,"3")=0,10^9,LOOKUP(2,1/($M$3:M187="3"),ROW($M$3:M187))),IF(COUNTIF($M$3:M187,"4")=0,10^9,LOOKUP(2,1/($M$3:M187="4"),ROW($M$3:M187))),IF(COUNTIF($M$3:M187,"5")=0,10^9,LOOKUP(2,1/($M$3:M187="5"),ROW($M$3:M187))),IF(COUNTIF($M$3:M187,"6")=0,10^9,LOOKUP(2,1/($M$3:M187="6"),ROW($M$3:M187))),IF(COUNTIF($M$3:M187,"7")=0,10^9,LOOKUP(2,1/($M$3:M187="7"),ROW($M$3:M187))),IF(COUNTIF($M$3:M187,"8")=0,10^9,LOOKUP(2,1/($M$3:M187="8"),ROW($M$3:M187))),IF(COUNTIF($M$3:M187,"9")=0,10^9,LOOKUP(2,1/($M$3:M187="9"),ROW($M$3:M187))))-ROW($M$3)+1),"")),AND(N188&lt;&gt;"",N188=IFERROR(INDEX($N$3:N187,MIN(IF(COUNTIF($N$3:N187,"鼠")=0,10^9,LOOKUP(2,1/($N$3:N187="鼠"),ROW($N$3:N187))),IF(COUNTIF($N$3:N187,"牛")=0,10^9,LOOKUP(2,1/($N$3:N187="牛"),ROW($N$3:N187))),IF(COUNTIF($N$3:N187,"虎")=0,10^9,LOOKUP(2,1/($N$3:N187="虎"),ROW($N$3:N187))),IF(COUNTIF($N$3:N187,"兔")=0,10^9,LOOKUP(2,1/($N$3:N187="兔"),ROW($N$3:N187))),IF(COUNTIF($N$3:N187,"龙")=0,10^9,LOOKUP(2,1/($N$3:N187="龙"),ROW($N$3:N187))),IF(COUNTIF($N$3:N187,"蛇")=0,10^9,LOOKUP(2,1/($N$3:N187="蛇"),ROW($N$3:N187))),IF(COUNTIF($N$3:N187,"马")=0,10^9,LOOKUP(2,1/($N$3:N187="马"),ROW($N$3:N187))),IF(COUNTIF($N$3:N187,"羊")=0,10^9,LOOKUP(2,1/($N$3:N187="羊"),ROW($N$3:N187))),IF(COUNTIF($N$3:N187,"猴")=0,10^9,LOOKUP(2,1/($N$3:N187="猴"),ROW($N$3:N187))),IF(COUNTIF($N$3:N187,"鸡")=0,10^9,LOOKUP(2,1/($N$3:N187="鸡"),ROW($N$3:N187))),IF(COUNTIF($N$3:N187,"狗")=0,10^9,LOOKUP(2,1/($N$3:N187="狗"),ROW($N$3:N187))),IF(COUNTIF($N$3:N187,"猪")=0,10^9,LOOKUP(2,1/($N$3:N187="猪"),ROW($N$3:N187))))-ROW($N$3)+1),""))),0,IF(ISNUMBER(J187),J187+1,1)))</f>
        <v/>
      </c>
      <c r="K188" s="5" t="e">
        <f t="shared" si="18"/>
        <v>#N/A</v>
      </c>
      <c r="M188" s="6" t="str">
        <f t="shared" si="14"/>
        <v/>
      </c>
      <c r="N188" s="2" t="e">
        <f t="shared" si="15"/>
        <v>#N/A</v>
      </c>
      <c r="O188" s="7" t="str">
        <f>IF(M188="","",IF(COUNTIF(M189:$M$1000,M188)&gt;0,"",M188))</f>
        <v/>
      </c>
      <c r="P188" s="8" t="e">
        <f>IF(N188="","",IF(COUNTIF(N189:$N$1000,N188)&gt;0,"",N188))</f>
        <v>#N/A</v>
      </c>
      <c r="Q188" s="21" t="e">
        <f t="shared" si="16"/>
        <v>#NUM!</v>
      </c>
      <c r="R188" s="22" t="e">
        <f t="shared" si="17"/>
        <v>#NUM!</v>
      </c>
      <c r="X188" s="2"/>
      <c r="Y188" s="2"/>
    </row>
    <row r="189" s="1" customFormat="1" spans="1:25">
      <c r="A189" s="2">
        <v>115056824</v>
      </c>
      <c r="B189" s="2"/>
      <c r="C189" s="2"/>
      <c r="D189" s="2"/>
      <c r="E189" s="2"/>
      <c r="F189" s="2"/>
      <c r="G189" s="2"/>
      <c r="H189" s="3"/>
      <c r="I189" s="2" t="e">
        <f t="shared" si="13"/>
        <v>#N/A</v>
      </c>
      <c r="J189" s="4" t="str">
        <f>IF(H189="","",IF(OR(AND(M189&lt;&gt;"",M189=IFERROR(INDEX($M$3:M188,MIN(IF(COUNTIF($M$3:M188,"0")=0,10^9,LOOKUP(2,1/($M$3:M188="0"),ROW($M$3:M188))),IF(COUNTIF($M$3:M188,"1")=0,10^9,LOOKUP(2,1/($M$3:M188="1"),ROW($M$3:M188))),IF(COUNTIF($M$3:M188,"2")=0,10^9,LOOKUP(2,1/($M$3:M188="2"),ROW($M$3:M188))),IF(COUNTIF($M$3:M188,"3")=0,10^9,LOOKUP(2,1/($M$3:M188="3"),ROW($M$3:M188))),IF(COUNTIF($M$3:M188,"4")=0,10^9,LOOKUP(2,1/($M$3:M188="4"),ROW($M$3:M188))),IF(COUNTIF($M$3:M188,"5")=0,10^9,LOOKUP(2,1/($M$3:M188="5"),ROW($M$3:M188))),IF(COUNTIF($M$3:M188,"6")=0,10^9,LOOKUP(2,1/($M$3:M188="6"),ROW($M$3:M188))),IF(COUNTIF($M$3:M188,"7")=0,10^9,LOOKUP(2,1/($M$3:M188="7"),ROW($M$3:M188))),IF(COUNTIF($M$3:M188,"8")=0,10^9,LOOKUP(2,1/($M$3:M188="8"),ROW($M$3:M188))),IF(COUNTIF($M$3:M188,"9")=0,10^9,LOOKUP(2,1/($M$3:M188="9"),ROW($M$3:M188))))-ROW($M$3)+1),"")),AND(N189&lt;&gt;"",N189=IFERROR(INDEX($N$3:N188,MIN(IF(COUNTIF($N$3:N188,"鼠")=0,10^9,LOOKUP(2,1/($N$3:N188="鼠"),ROW($N$3:N188))),IF(COUNTIF($N$3:N188,"牛")=0,10^9,LOOKUP(2,1/($N$3:N188="牛"),ROW($N$3:N188))),IF(COUNTIF($N$3:N188,"虎")=0,10^9,LOOKUP(2,1/($N$3:N188="虎"),ROW($N$3:N188))),IF(COUNTIF($N$3:N188,"兔")=0,10^9,LOOKUP(2,1/($N$3:N188="兔"),ROW($N$3:N188))),IF(COUNTIF($N$3:N188,"龙")=0,10^9,LOOKUP(2,1/($N$3:N188="龙"),ROW($N$3:N188))),IF(COUNTIF($N$3:N188,"蛇")=0,10^9,LOOKUP(2,1/($N$3:N188="蛇"),ROW($N$3:N188))),IF(COUNTIF($N$3:N188,"马")=0,10^9,LOOKUP(2,1/($N$3:N188="马"),ROW($N$3:N188))),IF(COUNTIF($N$3:N188,"羊")=0,10^9,LOOKUP(2,1/($N$3:N188="羊"),ROW($N$3:N188))),IF(COUNTIF($N$3:N188,"猴")=0,10^9,LOOKUP(2,1/($N$3:N188="猴"),ROW($N$3:N188))),IF(COUNTIF($N$3:N188,"鸡")=0,10^9,LOOKUP(2,1/($N$3:N188="鸡"),ROW($N$3:N188))),IF(COUNTIF($N$3:N188,"狗")=0,10^9,LOOKUP(2,1/($N$3:N188="狗"),ROW($N$3:N188))),IF(COUNTIF($N$3:N188,"猪")=0,10^9,LOOKUP(2,1/($N$3:N188="猪"),ROW($N$3:N188))))-ROW($N$3)+1),""))),0,IF(ISNUMBER(J188),J188+1,1)))</f>
        <v/>
      </c>
      <c r="K189" s="5" t="e">
        <f t="shared" si="18"/>
        <v>#N/A</v>
      </c>
      <c r="M189" s="6" t="str">
        <f t="shared" si="14"/>
        <v/>
      </c>
      <c r="N189" s="2" t="e">
        <f t="shared" si="15"/>
        <v>#N/A</v>
      </c>
      <c r="O189" s="7" t="str">
        <f>IF(M189="","",IF(COUNTIF(M190:$M$1000,M189)&gt;0,"",M189))</f>
        <v/>
      </c>
      <c r="P189" s="8" t="e">
        <f>IF(N189="","",IF(COUNTIF(N190:$N$1000,N189)&gt;0,"",N189))</f>
        <v>#N/A</v>
      </c>
      <c r="Q189" s="21" t="e">
        <f t="shared" si="16"/>
        <v>#NUM!</v>
      </c>
      <c r="R189" s="22" t="e">
        <f t="shared" si="17"/>
        <v>#NUM!</v>
      </c>
      <c r="X189" s="2"/>
      <c r="Y189" s="2"/>
    </row>
    <row r="190" s="1" customFormat="1" spans="1:25">
      <c r="A190" s="2">
        <v>115056825</v>
      </c>
      <c r="B190" s="2"/>
      <c r="C190" s="2"/>
      <c r="D190" s="2"/>
      <c r="E190" s="2"/>
      <c r="F190" s="2"/>
      <c r="G190" s="2"/>
      <c r="H190" s="3"/>
      <c r="I190" s="2" t="e">
        <f t="shared" si="13"/>
        <v>#N/A</v>
      </c>
      <c r="J190" s="4" t="str">
        <f>IF(H190="","",IF(OR(AND(M190&lt;&gt;"",M190=IFERROR(INDEX($M$3:M189,MIN(IF(COUNTIF($M$3:M189,"0")=0,10^9,LOOKUP(2,1/($M$3:M189="0"),ROW($M$3:M189))),IF(COUNTIF($M$3:M189,"1")=0,10^9,LOOKUP(2,1/($M$3:M189="1"),ROW($M$3:M189))),IF(COUNTIF($M$3:M189,"2")=0,10^9,LOOKUP(2,1/($M$3:M189="2"),ROW($M$3:M189))),IF(COUNTIF($M$3:M189,"3")=0,10^9,LOOKUP(2,1/($M$3:M189="3"),ROW($M$3:M189))),IF(COUNTIF($M$3:M189,"4")=0,10^9,LOOKUP(2,1/($M$3:M189="4"),ROW($M$3:M189))),IF(COUNTIF($M$3:M189,"5")=0,10^9,LOOKUP(2,1/($M$3:M189="5"),ROW($M$3:M189))),IF(COUNTIF($M$3:M189,"6")=0,10^9,LOOKUP(2,1/($M$3:M189="6"),ROW($M$3:M189))),IF(COUNTIF($M$3:M189,"7")=0,10^9,LOOKUP(2,1/($M$3:M189="7"),ROW($M$3:M189))),IF(COUNTIF($M$3:M189,"8")=0,10^9,LOOKUP(2,1/($M$3:M189="8"),ROW($M$3:M189))),IF(COUNTIF($M$3:M189,"9")=0,10^9,LOOKUP(2,1/($M$3:M189="9"),ROW($M$3:M189))))-ROW($M$3)+1),"")),AND(N190&lt;&gt;"",N190=IFERROR(INDEX($N$3:N189,MIN(IF(COUNTIF($N$3:N189,"鼠")=0,10^9,LOOKUP(2,1/($N$3:N189="鼠"),ROW($N$3:N189))),IF(COUNTIF($N$3:N189,"牛")=0,10^9,LOOKUP(2,1/($N$3:N189="牛"),ROW($N$3:N189))),IF(COUNTIF($N$3:N189,"虎")=0,10^9,LOOKUP(2,1/($N$3:N189="虎"),ROW($N$3:N189))),IF(COUNTIF($N$3:N189,"兔")=0,10^9,LOOKUP(2,1/($N$3:N189="兔"),ROW($N$3:N189))),IF(COUNTIF($N$3:N189,"龙")=0,10^9,LOOKUP(2,1/($N$3:N189="龙"),ROW($N$3:N189))),IF(COUNTIF($N$3:N189,"蛇")=0,10^9,LOOKUP(2,1/($N$3:N189="蛇"),ROW($N$3:N189))),IF(COUNTIF($N$3:N189,"马")=0,10^9,LOOKUP(2,1/($N$3:N189="马"),ROW($N$3:N189))),IF(COUNTIF($N$3:N189,"羊")=0,10^9,LOOKUP(2,1/($N$3:N189="羊"),ROW($N$3:N189))),IF(COUNTIF($N$3:N189,"猴")=0,10^9,LOOKUP(2,1/($N$3:N189="猴"),ROW($N$3:N189))),IF(COUNTIF($N$3:N189,"鸡")=0,10^9,LOOKUP(2,1/($N$3:N189="鸡"),ROW($N$3:N189))),IF(COUNTIF($N$3:N189,"狗")=0,10^9,LOOKUP(2,1/($N$3:N189="狗"),ROW($N$3:N189))),IF(COUNTIF($N$3:N189,"猪")=0,10^9,LOOKUP(2,1/($N$3:N189="猪"),ROW($N$3:N189))))-ROW($N$3)+1),""))),0,IF(ISNUMBER(J189),J189+1,1)))</f>
        <v/>
      </c>
      <c r="K190" s="5" t="e">
        <f t="shared" si="18"/>
        <v>#N/A</v>
      </c>
      <c r="M190" s="6" t="str">
        <f t="shared" si="14"/>
        <v/>
      </c>
      <c r="N190" s="2" t="e">
        <f t="shared" si="15"/>
        <v>#N/A</v>
      </c>
      <c r="O190" s="7" t="str">
        <f>IF(M190="","",IF(COUNTIF(M191:$M$1000,M190)&gt;0,"",M190))</f>
        <v/>
      </c>
      <c r="P190" s="8" t="e">
        <f>IF(N190="","",IF(COUNTIF(N191:$N$1000,N190)&gt;0,"",N190))</f>
        <v>#N/A</v>
      </c>
      <c r="Q190" s="21" t="e">
        <f t="shared" si="16"/>
        <v>#NUM!</v>
      </c>
      <c r="R190" s="22" t="e">
        <f t="shared" si="17"/>
        <v>#NUM!</v>
      </c>
      <c r="X190" s="2"/>
      <c r="Y190" s="2"/>
    </row>
    <row r="191" s="1" customFormat="1" spans="1:25">
      <c r="A191" s="2">
        <v>115056826</v>
      </c>
      <c r="B191" s="2"/>
      <c r="C191" s="2"/>
      <c r="D191" s="2"/>
      <c r="E191" s="2"/>
      <c r="F191" s="2"/>
      <c r="G191" s="2"/>
      <c r="H191" s="3"/>
      <c r="I191" s="2" t="e">
        <f t="shared" si="13"/>
        <v>#N/A</v>
      </c>
      <c r="J191" s="4" t="str">
        <f>IF(H191="","",IF(OR(AND(M191&lt;&gt;"",M191=IFERROR(INDEX($M$3:M190,MIN(IF(COUNTIF($M$3:M190,"0")=0,10^9,LOOKUP(2,1/($M$3:M190="0"),ROW($M$3:M190))),IF(COUNTIF($M$3:M190,"1")=0,10^9,LOOKUP(2,1/($M$3:M190="1"),ROW($M$3:M190))),IF(COUNTIF($M$3:M190,"2")=0,10^9,LOOKUP(2,1/($M$3:M190="2"),ROW($M$3:M190))),IF(COUNTIF($M$3:M190,"3")=0,10^9,LOOKUP(2,1/($M$3:M190="3"),ROW($M$3:M190))),IF(COUNTIF($M$3:M190,"4")=0,10^9,LOOKUP(2,1/($M$3:M190="4"),ROW($M$3:M190))),IF(COUNTIF($M$3:M190,"5")=0,10^9,LOOKUP(2,1/($M$3:M190="5"),ROW($M$3:M190))),IF(COUNTIF($M$3:M190,"6")=0,10^9,LOOKUP(2,1/($M$3:M190="6"),ROW($M$3:M190))),IF(COUNTIF($M$3:M190,"7")=0,10^9,LOOKUP(2,1/($M$3:M190="7"),ROW($M$3:M190))),IF(COUNTIF($M$3:M190,"8")=0,10^9,LOOKUP(2,1/($M$3:M190="8"),ROW($M$3:M190))),IF(COUNTIF($M$3:M190,"9")=0,10^9,LOOKUP(2,1/($M$3:M190="9"),ROW($M$3:M190))))-ROW($M$3)+1),"")),AND(N191&lt;&gt;"",N191=IFERROR(INDEX($N$3:N190,MIN(IF(COUNTIF($N$3:N190,"鼠")=0,10^9,LOOKUP(2,1/($N$3:N190="鼠"),ROW($N$3:N190))),IF(COUNTIF($N$3:N190,"牛")=0,10^9,LOOKUP(2,1/($N$3:N190="牛"),ROW($N$3:N190))),IF(COUNTIF($N$3:N190,"虎")=0,10^9,LOOKUP(2,1/($N$3:N190="虎"),ROW($N$3:N190))),IF(COUNTIF($N$3:N190,"兔")=0,10^9,LOOKUP(2,1/($N$3:N190="兔"),ROW($N$3:N190))),IF(COUNTIF($N$3:N190,"龙")=0,10^9,LOOKUP(2,1/($N$3:N190="龙"),ROW($N$3:N190))),IF(COUNTIF($N$3:N190,"蛇")=0,10^9,LOOKUP(2,1/($N$3:N190="蛇"),ROW($N$3:N190))),IF(COUNTIF($N$3:N190,"马")=0,10^9,LOOKUP(2,1/($N$3:N190="马"),ROW($N$3:N190))),IF(COUNTIF($N$3:N190,"羊")=0,10^9,LOOKUP(2,1/($N$3:N190="羊"),ROW($N$3:N190))),IF(COUNTIF($N$3:N190,"猴")=0,10^9,LOOKUP(2,1/($N$3:N190="猴"),ROW($N$3:N190))),IF(COUNTIF($N$3:N190,"鸡")=0,10^9,LOOKUP(2,1/($N$3:N190="鸡"),ROW($N$3:N190))),IF(COUNTIF($N$3:N190,"狗")=0,10^9,LOOKUP(2,1/($N$3:N190="狗"),ROW($N$3:N190))),IF(COUNTIF($N$3:N190,"猪")=0,10^9,LOOKUP(2,1/($N$3:N190="猪"),ROW($N$3:N190))))-ROW($N$3)+1),""))),0,IF(ISNUMBER(J190),J190+1,1)))</f>
        <v/>
      </c>
      <c r="K191" s="5" t="e">
        <f t="shared" si="18"/>
        <v>#N/A</v>
      </c>
      <c r="M191" s="6" t="str">
        <f t="shared" si="14"/>
        <v/>
      </c>
      <c r="N191" s="2" t="e">
        <f t="shared" si="15"/>
        <v>#N/A</v>
      </c>
      <c r="O191" s="7" t="str">
        <f>IF(M191="","",IF(COUNTIF(M192:$M$1000,M191)&gt;0,"",M191))</f>
        <v/>
      </c>
      <c r="P191" s="8" t="e">
        <f>IF(N191="","",IF(COUNTIF(N192:$N$1000,N191)&gt;0,"",N191))</f>
        <v>#N/A</v>
      </c>
      <c r="Q191" s="21" t="e">
        <f t="shared" si="16"/>
        <v>#NUM!</v>
      </c>
      <c r="R191" s="22" t="e">
        <f t="shared" si="17"/>
        <v>#NUM!</v>
      </c>
      <c r="X191" s="2"/>
      <c r="Y191" s="2"/>
    </row>
    <row r="192" s="1" customFormat="1" spans="1:25">
      <c r="A192" s="2">
        <v>115056827</v>
      </c>
      <c r="B192" s="2"/>
      <c r="C192" s="2"/>
      <c r="D192" s="2"/>
      <c r="E192" s="2"/>
      <c r="F192" s="2"/>
      <c r="G192" s="2"/>
      <c r="H192" s="3"/>
      <c r="I192" s="2" t="e">
        <f t="shared" si="13"/>
        <v>#N/A</v>
      </c>
      <c r="J192" s="4" t="str">
        <f>IF(H192="","",IF(OR(AND(M192&lt;&gt;"",M192=IFERROR(INDEX($M$3:M191,MIN(IF(COUNTIF($M$3:M191,"0")=0,10^9,LOOKUP(2,1/($M$3:M191="0"),ROW($M$3:M191))),IF(COUNTIF($M$3:M191,"1")=0,10^9,LOOKUP(2,1/($M$3:M191="1"),ROW($M$3:M191))),IF(COUNTIF($M$3:M191,"2")=0,10^9,LOOKUP(2,1/($M$3:M191="2"),ROW($M$3:M191))),IF(COUNTIF($M$3:M191,"3")=0,10^9,LOOKUP(2,1/($M$3:M191="3"),ROW($M$3:M191))),IF(COUNTIF($M$3:M191,"4")=0,10^9,LOOKUP(2,1/($M$3:M191="4"),ROW($M$3:M191))),IF(COUNTIF($M$3:M191,"5")=0,10^9,LOOKUP(2,1/($M$3:M191="5"),ROW($M$3:M191))),IF(COUNTIF($M$3:M191,"6")=0,10^9,LOOKUP(2,1/($M$3:M191="6"),ROW($M$3:M191))),IF(COUNTIF($M$3:M191,"7")=0,10^9,LOOKUP(2,1/($M$3:M191="7"),ROW($M$3:M191))),IF(COUNTIF($M$3:M191,"8")=0,10^9,LOOKUP(2,1/($M$3:M191="8"),ROW($M$3:M191))),IF(COUNTIF($M$3:M191,"9")=0,10^9,LOOKUP(2,1/($M$3:M191="9"),ROW($M$3:M191))))-ROW($M$3)+1),"")),AND(N192&lt;&gt;"",N192=IFERROR(INDEX($N$3:N191,MIN(IF(COUNTIF($N$3:N191,"鼠")=0,10^9,LOOKUP(2,1/($N$3:N191="鼠"),ROW($N$3:N191))),IF(COUNTIF($N$3:N191,"牛")=0,10^9,LOOKUP(2,1/($N$3:N191="牛"),ROW($N$3:N191))),IF(COUNTIF($N$3:N191,"虎")=0,10^9,LOOKUP(2,1/($N$3:N191="虎"),ROW($N$3:N191))),IF(COUNTIF($N$3:N191,"兔")=0,10^9,LOOKUP(2,1/($N$3:N191="兔"),ROW($N$3:N191))),IF(COUNTIF($N$3:N191,"龙")=0,10^9,LOOKUP(2,1/($N$3:N191="龙"),ROW($N$3:N191))),IF(COUNTIF($N$3:N191,"蛇")=0,10^9,LOOKUP(2,1/($N$3:N191="蛇"),ROW($N$3:N191))),IF(COUNTIF($N$3:N191,"马")=0,10^9,LOOKUP(2,1/($N$3:N191="马"),ROW($N$3:N191))),IF(COUNTIF($N$3:N191,"羊")=0,10^9,LOOKUP(2,1/($N$3:N191="羊"),ROW($N$3:N191))),IF(COUNTIF($N$3:N191,"猴")=0,10^9,LOOKUP(2,1/($N$3:N191="猴"),ROW($N$3:N191))),IF(COUNTIF($N$3:N191,"鸡")=0,10^9,LOOKUP(2,1/($N$3:N191="鸡"),ROW($N$3:N191))),IF(COUNTIF($N$3:N191,"狗")=0,10^9,LOOKUP(2,1/($N$3:N191="狗"),ROW($N$3:N191))),IF(COUNTIF($N$3:N191,"猪")=0,10^9,LOOKUP(2,1/($N$3:N191="猪"),ROW($N$3:N191))))-ROW($N$3)+1),""))),0,IF(ISNUMBER(J191),J191+1,1)))</f>
        <v/>
      </c>
      <c r="K192" s="5" t="e">
        <f t="shared" si="18"/>
        <v>#N/A</v>
      </c>
      <c r="M192" s="6" t="str">
        <f t="shared" si="14"/>
        <v/>
      </c>
      <c r="N192" s="2" t="e">
        <f t="shared" si="15"/>
        <v>#N/A</v>
      </c>
      <c r="O192" s="7" t="str">
        <f>IF(M192="","",IF(COUNTIF(M193:$M$1000,M192)&gt;0,"",M192))</f>
        <v/>
      </c>
      <c r="P192" s="8" t="e">
        <f>IF(N192="","",IF(COUNTIF(N193:$N$1000,N192)&gt;0,"",N192))</f>
        <v>#N/A</v>
      </c>
      <c r="Q192" s="21" t="e">
        <f t="shared" si="16"/>
        <v>#NUM!</v>
      </c>
      <c r="R192" s="22" t="e">
        <f t="shared" si="17"/>
        <v>#NUM!</v>
      </c>
      <c r="X192" s="2"/>
      <c r="Y192" s="2"/>
    </row>
    <row r="193" s="1" customFormat="1" spans="1:25">
      <c r="A193" s="2">
        <v>115056828</v>
      </c>
      <c r="B193" s="2"/>
      <c r="C193" s="2"/>
      <c r="D193" s="2"/>
      <c r="E193" s="2"/>
      <c r="F193" s="2"/>
      <c r="G193" s="2"/>
      <c r="H193" s="3"/>
      <c r="I193" s="2" t="e">
        <f t="shared" si="13"/>
        <v>#N/A</v>
      </c>
      <c r="J193" s="4" t="str">
        <f>IF(H193="","",IF(OR(AND(M193&lt;&gt;"",M193=IFERROR(INDEX($M$3:M192,MIN(IF(COUNTIF($M$3:M192,"0")=0,10^9,LOOKUP(2,1/($M$3:M192="0"),ROW($M$3:M192))),IF(COUNTIF($M$3:M192,"1")=0,10^9,LOOKUP(2,1/($M$3:M192="1"),ROW($M$3:M192))),IF(COUNTIF($M$3:M192,"2")=0,10^9,LOOKUP(2,1/($M$3:M192="2"),ROW($M$3:M192))),IF(COUNTIF($M$3:M192,"3")=0,10^9,LOOKUP(2,1/($M$3:M192="3"),ROW($M$3:M192))),IF(COUNTIF($M$3:M192,"4")=0,10^9,LOOKUP(2,1/($M$3:M192="4"),ROW($M$3:M192))),IF(COUNTIF($M$3:M192,"5")=0,10^9,LOOKUP(2,1/($M$3:M192="5"),ROW($M$3:M192))),IF(COUNTIF($M$3:M192,"6")=0,10^9,LOOKUP(2,1/($M$3:M192="6"),ROW($M$3:M192))),IF(COUNTIF($M$3:M192,"7")=0,10^9,LOOKUP(2,1/($M$3:M192="7"),ROW($M$3:M192))),IF(COUNTIF($M$3:M192,"8")=0,10^9,LOOKUP(2,1/($M$3:M192="8"),ROW($M$3:M192))),IF(COUNTIF($M$3:M192,"9")=0,10^9,LOOKUP(2,1/($M$3:M192="9"),ROW($M$3:M192))))-ROW($M$3)+1),"")),AND(N193&lt;&gt;"",N193=IFERROR(INDEX($N$3:N192,MIN(IF(COUNTIF($N$3:N192,"鼠")=0,10^9,LOOKUP(2,1/($N$3:N192="鼠"),ROW($N$3:N192))),IF(COUNTIF($N$3:N192,"牛")=0,10^9,LOOKUP(2,1/($N$3:N192="牛"),ROW($N$3:N192))),IF(COUNTIF($N$3:N192,"虎")=0,10^9,LOOKUP(2,1/($N$3:N192="虎"),ROW($N$3:N192))),IF(COUNTIF($N$3:N192,"兔")=0,10^9,LOOKUP(2,1/($N$3:N192="兔"),ROW($N$3:N192))),IF(COUNTIF($N$3:N192,"龙")=0,10^9,LOOKUP(2,1/($N$3:N192="龙"),ROW($N$3:N192))),IF(COUNTIF($N$3:N192,"蛇")=0,10^9,LOOKUP(2,1/($N$3:N192="蛇"),ROW($N$3:N192))),IF(COUNTIF($N$3:N192,"马")=0,10^9,LOOKUP(2,1/($N$3:N192="马"),ROW($N$3:N192))),IF(COUNTIF($N$3:N192,"羊")=0,10^9,LOOKUP(2,1/($N$3:N192="羊"),ROW($N$3:N192))),IF(COUNTIF($N$3:N192,"猴")=0,10^9,LOOKUP(2,1/($N$3:N192="猴"),ROW($N$3:N192))),IF(COUNTIF($N$3:N192,"鸡")=0,10^9,LOOKUP(2,1/($N$3:N192="鸡"),ROW($N$3:N192))),IF(COUNTIF($N$3:N192,"狗")=0,10^9,LOOKUP(2,1/($N$3:N192="狗"),ROW($N$3:N192))),IF(COUNTIF($N$3:N192,"猪")=0,10^9,LOOKUP(2,1/($N$3:N192="猪"),ROW($N$3:N192))))-ROW($N$3)+1),""))),0,IF(ISNUMBER(J192),J192+1,1)))</f>
        <v/>
      </c>
      <c r="K193" s="5" t="e">
        <f t="shared" si="18"/>
        <v>#N/A</v>
      </c>
      <c r="M193" s="6" t="str">
        <f t="shared" si="14"/>
        <v/>
      </c>
      <c r="N193" s="2" t="e">
        <f t="shared" si="15"/>
        <v>#N/A</v>
      </c>
      <c r="O193" s="7" t="str">
        <f>IF(M193="","",IF(COUNTIF(M194:$M$1000,M193)&gt;0,"",M193))</f>
        <v/>
      </c>
      <c r="P193" s="8" t="e">
        <f>IF(N193="","",IF(COUNTIF(N194:$N$1000,N193)&gt;0,"",N193))</f>
        <v>#N/A</v>
      </c>
      <c r="Q193" s="21" t="e">
        <f t="shared" si="16"/>
        <v>#NUM!</v>
      </c>
      <c r="R193" s="22" t="e">
        <f t="shared" si="17"/>
        <v>#NUM!</v>
      </c>
      <c r="X193" s="2"/>
      <c r="Y193" s="2"/>
    </row>
    <row r="194" s="1" customFormat="1" spans="1:25">
      <c r="A194" s="2">
        <v>115056829</v>
      </c>
      <c r="B194" s="2"/>
      <c r="C194" s="2"/>
      <c r="D194" s="2"/>
      <c r="E194" s="2"/>
      <c r="F194" s="2"/>
      <c r="G194" s="2"/>
      <c r="H194" s="3"/>
      <c r="I194" s="2" t="e">
        <f t="shared" si="13"/>
        <v>#N/A</v>
      </c>
      <c r="J194" s="4" t="str">
        <f>IF(H194="","",IF(OR(AND(M194&lt;&gt;"",M194=IFERROR(INDEX($M$3:M193,MIN(IF(COUNTIF($M$3:M193,"0")=0,10^9,LOOKUP(2,1/($M$3:M193="0"),ROW($M$3:M193))),IF(COUNTIF($M$3:M193,"1")=0,10^9,LOOKUP(2,1/($M$3:M193="1"),ROW($M$3:M193))),IF(COUNTIF($M$3:M193,"2")=0,10^9,LOOKUP(2,1/($M$3:M193="2"),ROW($M$3:M193))),IF(COUNTIF($M$3:M193,"3")=0,10^9,LOOKUP(2,1/($M$3:M193="3"),ROW($M$3:M193))),IF(COUNTIF($M$3:M193,"4")=0,10^9,LOOKUP(2,1/($M$3:M193="4"),ROW($M$3:M193))),IF(COUNTIF($M$3:M193,"5")=0,10^9,LOOKUP(2,1/($M$3:M193="5"),ROW($M$3:M193))),IF(COUNTIF($M$3:M193,"6")=0,10^9,LOOKUP(2,1/($M$3:M193="6"),ROW($M$3:M193))),IF(COUNTIF($M$3:M193,"7")=0,10^9,LOOKUP(2,1/($M$3:M193="7"),ROW($M$3:M193))),IF(COUNTIF($M$3:M193,"8")=0,10^9,LOOKUP(2,1/($M$3:M193="8"),ROW($M$3:M193))),IF(COUNTIF($M$3:M193,"9")=0,10^9,LOOKUP(2,1/($M$3:M193="9"),ROW($M$3:M193))))-ROW($M$3)+1),"")),AND(N194&lt;&gt;"",N194=IFERROR(INDEX($N$3:N193,MIN(IF(COUNTIF($N$3:N193,"鼠")=0,10^9,LOOKUP(2,1/($N$3:N193="鼠"),ROW($N$3:N193))),IF(COUNTIF($N$3:N193,"牛")=0,10^9,LOOKUP(2,1/($N$3:N193="牛"),ROW($N$3:N193))),IF(COUNTIF($N$3:N193,"虎")=0,10^9,LOOKUP(2,1/($N$3:N193="虎"),ROW($N$3:N193))),IF(COUNTIF($N$3:N193,"兔")=0,10^9,LOOKUP(2,1/($N$3:N193="兔"),ROW($N$3:N193))),IF(COUNTIF($N$3:N193,"龙")=0,10^9,LOOKUP(2,1/($N$3:N193="龙"),ROW($N$3:N193))),IF(COUNTIF($N$3:N193,"蛇")=0,10^9,LOOKUP(2,1/($N$3:N193="蛇"),ROW($N$3:N193))),IF(COUNTIF($N$3:N193,"马")=0,10^9,LOOKUP(2,1/($N$3:N193="马"),ROW($N$3:N193))),IF(COUNTIF($N$3:N193,"羊")=0,10^9,LOOKUP(2,1/($N$3:N193="羊"),ROW($N$3:N193))),IF(COUNTIF($N$3:N193,"猴")=0,10^9,LOOKUP(2,1/($N$3:N193="猴"),ROW($N$3:N193))),IF(COUNTIF($N$3:N193,"鸡")=0,10^9,LOOKUP(2,1/($N$3:N193="鸡"),ROW($N$3:N193))),IF(COUNTIF($N$3:N193,"狗")=0,10^9,LOOKUP(2,1/($N$3:N193="狗"),ROW($N$3:N193))),IF(COUNTIF($N$3:N193,"猪")=0,10^9,LOOKUP(2,1/($N$3:N193="猪"),ROW($N$3:N193))))-ROW($N$3)+1),""))),0,IF(ISNUMBER(J193),J193+1,1)))</f>
        <v/>
      </c>
      <c r="K194" s="5" t="e">
        <f t="shared" si="18"/>
        <v>#N/A</v>
      </c>
      <c r="M194" s="6" t="str">
        <f t="shared" si="14"/>
        <v/>
      </c>
      <c r="N194" s="2" t="e">
        <f t="shared" si="15"/>
        <v>#N/A</v>
      </c>
      <c r="O194" s="7" t="str">
        <f>IF(M194="","",IF(COUNTIF(M195:$M$1000,M194)&gt;0,"",M194))</f>
        <v/>
      </c>
      <c r="P194" s="8" t="e">
        <f>IF(N194="","",IF(COUNTIF(N195:$N$1000,N194)&gt;0,"",N194))</f>
        <v>#N/A</v>
      </c>
      <c r="Q194" s="21" t="e">
        <f t="shared" si="16"/>
        <v>#NUM!</v>
      </c>
      <c r="R194" s="22" t="e">
        <f t="shared" si="17"/>
        <v>#NUM!</v>
      </c>
      <c r="X194" s="2"/>
      <c r="Y194" s="2"/>
    </row>
    <row r="195" s="1" customFormat="1" spans="1:25">
      <c r="A195" s="2">
        <v>115056830</v>
      </c>
      <c r="B195" s="2"/>
      <c r="C195" s="2"/>
      <c r="D195" s="2"/>
      <c r="E195" s="2"/>
      <c r="F195" s="2"/>
      <c r="G195" s="2"/>
      <c r="H195" s="3"/>
      <c r="I195" s="2" t="e">
        <f t="shared" ref="I195:I258" si="19">VLOOKUP(H195,X:Y,2,0)</f>
        <v>#N/A</v>
      </c>
      <c r="J195" s="4" t="str">
        <f>IF(H195="","",IF(OR(AND(M195&lt;&gt;"",M195=IFERROR(INDEX($M$3:M194,MIN(IF(COUNTIF($M$3:M194,"0")=0,10^9,LOOKUP(2,1/($M$3:M194="0"),ROW($M$3:M194))),IF(COUNTIF($M$3:M194,"1")=0,10^9,LOOKUP(2,1/($M$3:M194="1"),ROW($M$3:M194))),IF(COUNTIF($M$3:M194,"2")=0,10^9,LOOKUP(2,1/($M$3:M194="2"),ROW($M$3:M194))),IF(COUNTIF($M$3:M194,"3")=0,10^9,LOOKUP(2,1/($M$3:M194="3"),ROW($M$3:M194))),IF(COUNTIF($M$3:M194,"4")=0,10^9,LOOKUP(2,1/($M$3:M194="4"),ROW($M$3:M194))),IF(COUNTIF($M$3:M194,"5")=0,10^9,LOOKUP(2,1/($M$3:M194="5"),ROW($M$3:M194))),IF(COUNTIF($M$3:M194,"6")=0,10^9,LOOKUP(2,1/($M$3:M194="6"),ROW($M$3:M194))),IF(COUNTIF($M$3:M194,"7")=0,10^9,LOOKUP(2,1/($M$3:M194="7"),ROW($M$3:M194))),IF(COUNTIF($M$3:M194,"8")=0,10^9,LOOKUP(2,1/($M$3:M194="8"),ROW($M$3:M194))),IF(COUNTIF($M$3:M194,"9")=0,10^9,LOOKUP(2,1/($M$3:M194="9"),ROW($M$3:M194))))-ROW($M$3)+1),"")),AND(N195&lt;&gt;"",N195=IFERROR(INDEX($N$3:N194,MIN(IF(COUNTIF($N$3:N194,"鼠")=0,10^9,LOOKUP(2,1/($N$3:N194="鼠"),ROW($N$3:N194))),IF(COUNTIF($N$3:N194,"牛")=0,10^9,LOOKUP(2,1/($N$3:N194="牛"),ROW($N$3:N194))),IF(COUNTIF($N$3:N194,"虎")=0,10^9,LOOKUP(2,1/($N$3:N194="虎"),ROW($N$3:N194))),IF(COUNTIF($N$3:N194,"兔")=0,10^9,LOOKUP(2,1/($N$3:N194="兔"),ROW($N$3:N194))),IF(COUNTIF($N$3:N194,"龙")=0,10^9,LOOKUP(2,1/($N$3:N194="龙"),ROW($N$3:N194))),IF(COUNTIF($N$3:N194,"蛇")=0,10^9,LOOKUP(2,1/($N$3:N194="蛇"),ROW($N$3:N194))),IF(COUNTIF($N$3:N194,"马")=0,10^9,LOOKUP(2,1/($N$3:N194="马"),ROW($N$3:N194))),IF(COUNTIF($N$3:N194,"羊")=0,10^9,LOOKUP(2,1/($N$3:N194="羊"),ROW($N$3:N194))),IF(COUNTIF($N$3:N194,"猴")=0,10^9,LOOKUP(2,1/($N$3:N194="猴"),ROW($N$3:N194))),IF(COUNTIF($N$3:N194,"鸡")=0,10^9,LOOKUP(2,1/($N$3:N194="鸡"),ROW($N$3:N194))),IF(COUNTIF($N$3:N194,"狗")=0,10^9,LOOKUP(2,1/($N$3:N194="狗"),ROW($N$3:N194))),IF(COUNTIF($N$3:N194,"猪")=0,10^9,LOOKUP(2,1/($N$3:N194="猪"),ROW($N$3:N194))))-ROW($N$3)+1),""))),0,IF(ISNUMBER(J194),J194+1,1)))</f>
        <v/>
      </c>
      <c r="K195" s="5" t="e">
        <f t="shared" si="18"/>
        <v>#N/A</v>
      </c>
      <c r="M195" s="6" t="str">
        <f t="shared" ref="M195:M258" si="20">RIGHT(H195,1)</f>
        <v/>
      </c>
      <c r="N195" s="2" t="e">
        <f t="shared" ref="N195:N258" si="21">I195</f>
        <v>#N/A</v>
      </c>
      <c r="O195" s="7" t="str">
        <f>IF(M195="","",IF(COUNTIF(M196:$M$1000,M195)&gt;0,"",M195))</f>
        <v/>
      </c>
      <c r="P195" s="8" t="e">
        <f>IF(N195="","",IF(COUNTIF(N196:$N$1000,N195)&gt;0,"",N195))</f>
        <v>#N/A</v>
      </c>
      <c r="Q195" s="21" t="e">
        <f t="shared" ref="Q195:Q258" si="22">MOD(INT(SMALL(B195:G195,5)/10)+MOD(SMALL(B195:G195,5),10),10)+INT(SMALL(B195:G195,4)/10)+INT(SMALL(B195:G195,6)/10)+MOD(SMALL(B195:G195,6),10)+SMALL(B195:G195,4)+SMALL(B195:G195,6)+9</f>
        <v>#NUM!</v>
      </c>
      <c r="R195" s="22" t="e">
        <f t="shared" ref="R195:R258" si="23">VLOOKUP(Q195,X:Y,2,0)</f>
        <v>#NUM!</v>
      </c>
      <c r="X195" s="2"/>
      <c r="Y195" s="2"/>
    </row>
    <row r="196" s="1" customFormat="1" spans="1:25">
      <c r="A196" s="2">
        <v>115056831</v>
      </c>
      <c r="B196" s="2"/>
      <c r="C196" s="2"/>
      <c r="D196" s="2"/>
      <c r="E196" s="2"/>
      <c r="F196" s="2"/>
      <c r="G196" s="2"/>
      <c r="H196" s="3"/>
      <c r="I196" s="2" t="e">
        <f t="shared" si="19"/>
        <v>#N/A</v>
      </c>
      <c r="J196" s="4" t="str">
        <f>IF(H196="","",IF(OR(AND(M196&lt;&gt;"",M196=IFERROR(INDEX($M$3:M195,MIN(IF(COUNTIF($M$3:M195,"0")=0,10^9,LOOKUP(2,1/($M$3:M195="0"),ROW($M$3:M195))),IF(COUNTIF($M$3:M195,"1")=0,10^9,LOOKUP(2,1/($M$3:M195="1"),ROW($M$3:M195))),IF(COUNTIF($M$3:M195,"2")=0,10^9,LOOKUP(2,1/($M$3:M195="2"),ROW($M$3:M195))),IF(COUNTIF($M$3:M195,"3")=0,10^9,LOOKUP(2,1/($M$3:M195="3"),ROW($M$3:M195))),IF(COUNTIF($M$3:M195,"4")=0,10^9,LOOKUP(2,1/($M$3:M195="4"),ROW($M$3:M195))),IF(COUNTIF($M$3:M195,"5")=0,10^9,LOOKUP(2,1/($M$3:M195="5"),ROW($M$3:M195))),IF(COUNTIF($M$3:M195,"6")=0,10^9,LOOKUP(2,1/($M$3:M195="6"),ROW($M$3:M195))),IF(COUNTIF($M$3:M195,"7")=0,10^9,LOOKUP(2,1/($M$3:M195="7"),ROW($M$3:M195))),IF(COUNTIF($M$3:M195,"8")=0,10^9,LOOKUP(2,1/($M$3:M195="8"),ROW($M$3:M195))),IF(COUNTIF($M$3:M195,"9")=0,10^9,LOOKUP(2,1/($M$3:M195="9"),ROW($M$3:M195))))-ROW($M$3)+1),"")),AND(N196&lt;&gt;"",N196=IFERROR(INDEX($N$3:N195,MIN(IF(COUNTIF($N$3:N195,"鼠")=0,10^9,LOOKUP(2,1/($N$3:N195="鼠"),ROW($N$3:N195))),IF(COUNTIF($N$3:N195,"牛")=0,10^9,LOOKUP(2,1/($N$3:N195="牛"),ROW($N$3:N195))),IF(COUNTIF($N$3:N195,"虎")=0,10^9,LOOKUP(2,1/($N$3:N195="虎"),ROW($N$3:N195))),IF(COUNTIF($N$3:N195,"兔")=0,10^9,LOOKUP(2,1/($N$3:N195="兔"),ROW($N$3:N195))),IF(COUNTIF($N$3:N195,"龙")=0,10^9,LOOKUP(2,1/($N$3:N195="龙"),ROW($N$3:N195))),IF(COUNTIF($N$3:N195,"蛇")=0,10^9,LOOKUP(2,1/($N$3:N195="蛇"),ROW($N$3:N195))),IF(COUNTIF($N$3:N195,"马")=0,10^9,LOOKUP(2,1/($N$3:N195="马"),ROW($N$3:N195))),IF(COUNTIF($N$3:N195,"羊")=0,10^9,LOOKUP(2,1/($N$3:N195="羊"),ROW($N$3:N195))),IF(COUNTIF($N$3:N195,"猴")=0,10^9,LOOKUP(2,1/($N$3:N195="猴"),ROW($N$3:N195))),IF(COUNTIF($N$3:N195,"鸡")=0,10^9,LOOKUP(2,1/($N$3:N195="鸡"),ROW($N$3:N195))),IF(COUNTIF($N$3:N195,"狗")=0,10^9,LOOKUP(2,1/($N$3:N195="狗"),ROW($N$3:N195))),IF(COUNTIF($N$3:N195,"猪")=0,10^9,LOOKUP(2,1/($N$3:N195="猪"),ROW($N$3:N195))))-ROW($N$3)+1),""))),0,IF(ISNUMBER(J195),J195+1,1)))</f>
        <v/>
      </c>
      <c r="K196" s="5" t="e">
        <f t="shared" ref="K196:K259" si="24">IF(I196=R195,0,K195+1)</f>
        <v>#N/A</v>
      </c>
      <c r="M196" s="6" t="str">
        <f t="shared" si="20"/>
        <v/>
      </c>
      <c r="N196" s="2" t="e">
        <f t="shared" si="21"/>
        <v>#N/A</v>
      </c>
      <c r="O196" s="7" t="str">
        <f>IF(M196="","",IF(COUNTIF(M197:$M$1000,M196)&gt;0,"",M196))</f>
        <v/>
      </c>
      <c r="P196" s="8" t="e">
        <f>IF(N196="","",IF(COUNTIF(N197:$N$1000,N196)&gt;0,"",N196))</f>
        <v>#N/A</v>
      </c>
      <c r="Q196" s="21" t="e">
        <f t="shared" si="22"/>
        <v>#NUM!</v>
      </c>
      <c r="R196" s="22" t="e">
        <f t="shared" si="23"/>
        <v>#NUM!</v>
      </c>
      <c r="X196" s="2"/>
      <c r="Y196" s="2"/>
    </row>
    <row r="197" s="1" customFormat="1" spans="1:25">
      <c r="A197" s="2">
        <v>115056832</v>
      </c>
      <c r="B197" s="2"/>
      <c r="C197" s="2"/>
      <c r="D197" s="2"/>
      <c r="E197" s="2"/>
      <c r="F197" s="2"/>
      <c r="G197" s="2"/>
      <c r="H197" s="3"/>
      <c r="I197" s="2" t="e">
        <f t="shared" si="19"/>
        <v>#N/A</v>
      </c>
      <c r="J197" s="4" t="str">
        <f>IF(H197="","",IF(OR(AND(M197&lt;&gt;"",M197=IFERROR(INDEX($M$3:M196,MIN(IF(COUNTIF($M$3:M196,"0")=0,10^9,LOOKUP(2,1/($M$3:M196="0"),ROW($M$3:M196))),IF(COUNTIF($M$3:M196,"1")=0,10^9,LOOKUP(2,1/($M$3:M196="1"),ROW($M$3:M196))),IF(COUNTIF($M$3:M196,"2")=0,10^9,LOOKUP(2,1/($M$3:M196="2"),ROW($M$3:M196))),IF(COUNTIF($M$3:M196,"3")=0,10^9,LOOKUP(2,1/($M$3:M196="3"),ROW($M$3:M196))),IF(COUNTIF($M$3:M196,"4")=0,10^9,LOOKUP(2,1/($M$3:M196="4"),ROW($M$3:M196))),IF(COUNTIF($M$3:M196,"5")=0,10^9,LOOKUP(2,1/($M$3:M196="5"),ROW($M$3:M196))),IF(COUNTIF($M$3:M196,"6")=0,10^9,LOOKUP(2,1/($M$3:M196="6"),ROW($M$3:M196))),IF(COUNTIF($M$3:M196,"7")=0,10^9,LOOKUP(2,1/($M$3:M196="7"),ROW($M$3:M196))),IF(COUNTIF($M$3:M196,"8")=0,10^9,LOOKUP(2,1/($M$3:M196="8"),ROW($M$3:M196))),IF(COUNTIF($M$3:M196,"9")=0,10^9,LOOKUP(2,1/($M$3:M196="9"),ROW($M$3:M196))))-ROW($M$3)+1),"")),AND(N197&lt;&gt;"",N197=IFERROR(INDEX($N$3:N196,MIN(IF(COUNTIF($N$3:N196,"鼠")=0,10^9,LOOKUP(2,1/($N$3:N196="鼠"),ROW($N$3:N196))),IF(COUNTIF($N$3:N196,"牛")=0,10^9,LOOKUP(2,1/($N$3:N196="牛"),ROW($N$3:N196))),IF(COUNTIF($N$3:N196,"虎")=0,10^9,LOOKUP(2,1/($N$3:N196="虎"),ROW($N$3:N196))),IF(COUNTIF($N$3:N196,"兔")=0,10^9,LOOKUP(2,1/($N$3:N196="兔"),ROW($N$3:N196))),IF(COUNTIF($N$3:N196,"龙")=0,10^9,LOOKUP(2,1/($N$3:N196="龙"),ROW($N$3:N196))),IF(COUNTIF($N$3:N196,"蛇")=0,10^9,LOOKUP(2,1/($N$3:N196="蛇"),ROW($N$3:N196))),IF(COUNTIF($N$3:N196,"马")=0,10^9,LOOKUP(2,1/($N$3:N196="马"),ROW($N$3:N196))),IF(COUNTIF($N$3:N196,"羊")=0,10^9,LOOKUP(2,1/($N$3:N196="羊"),ROW($N$3:N196))),IF(COUNTIF($N$3:N196,"猴")=0,10^9,LOOKUP(2,1/($N$3:N196="猴"),ROW($N$3:N196))),IF(COUNTIF($N$3:N196,"鸡")=0,10^9,LOOKUP(2,1/($N$3:N196="鸡"),ROW($N$3:N196))),IF(COUNTIF($N$3:N196,"狗")=0,10^9,LOOKUP(2,1/($N$3:N196="狗"),ROW($N$3:N196))),IF(COUNTIF($N$3:N196,"猪")=0,10^9,LOOKUP(2,1/($N$3:N196="猪"),ROW($N$3:N196))))-ROW($N$3)+1),""))),0,IF(ISNUMBER(J196),J196+1,1)))</f>
        <v/>
      </c>
      <c r="K197" s="5" t="e">
        <f t="shared" si="24"/>
        <v>#N/A</v>
      </c>
      <c r="M197" s="6" t="str">
        <f t="shared" si="20"/>
        <v/>
      </c>
      <c r="N197" s="2" t="e">
        <f t="shared" si="21"/>
        <v>#N/A</v>
      </c>
      <c r="O197" s="7" t="str">
        <f>IF(M197="","",IF(COUNTIF(M198:$M$1000,M197)&gt;0,"",M197))</f>
        <v/>
      </c>
      <c r="P197" s="8" t="e">
        <f>IF(N197="","",IF(COUNTIF(N198:$N$1000,N197)&gt;0,"",N197))</f>
        <v>#N/A</v>
      </c>
      <c r="Q197" s="21" t="e">
        <f t="shared" si="22"/>
        <v>#NUM!</v>
      </c>
      <c r="R197" s="22" t="e">
        <f t="shared" si="23"/>
        <v>#NUM!</v>
      </c>
      <c r="X197" s="2"/>
      <c r="Y197" s="2"/>
    </row>
    <row r="198" s="1" customFormat="1" spans="1:25">
      <c r="A198" s="2">
        <v>115056833</v>
      </c>
      <c r="B198" s="2"/>
      <c r="C198" s="2"/>
      <c r="D198" s="2"/>
      <c r="E198" s="2"/>
      <c r="F198" s="2"/>
      <c r="G198" s="2"/>
      <c r="H198" s="3"/>
      <c r="I198" s="2" t="e">
        <f t="shared" si="19"/>
        <v>#N/A</v>
      </c>
      <c r="J198" s="4" t="str">
        <f>IF(H198="","",IF(OR(AND(M198&lt;&gt;"",M198=IFERROR(INDEX($M$3:M197,MIN(IF(COUNTIF($M$3:M197,"0")=0,10^9,LOOKUP(2,1/($M$3:M197="0"),ROW($M$3:M197))),IF(COUNTIF($M$3:M197,"1")=0,10^9,LOOKUP(2,1/($M$3:M197="1"),ROW($M$3:M197))),IF(COUNTIF($M$3:M197,"2")=0,10^9,LOOKUP(2,1/($M$3:M197="2"),ROW($M$3:M197))),IF(COUNTIF($M$3:M197,"3")=0,10^9,LOOKUP(2,1/($M$3:M197="3"),ROW($M$3:M197))),IF(COUNTIF($M$3:M197,"4")=0,10^9,LOOKUP(2,1/($M$3:M197="4"),ROW($M$3:M197))),IF(COUNTIF($M$3:M197,"5")=0,10^9,LOOKUP(2,1/($M$3:M197="5"),ROW($M$3:M197))),IF(COUNTIF($M$3:M197,"6")=0,10^9,LOOKUP(2,1/($M$3:M197="6"),ROW($M$3:M197))),IF(COUNTIF($M$3:M197,"7")=0,10^9,LOOKUP(2,1/($M$3:M197="7"),ROW($M$3:M197))),IF(COUNTIF($M$3:M197,"8")=0,10^9,LOOKUP(2,1/($M$3:M197="8"),ROW($M$3:M197))),IF(COUNTIF($M$3:M197,"9")=0,10^9,LOOKUP(2,1/($M$3:M197="9"),ROW($M$3:M197))))-ROW($M$3)+1),"")),AND(N198&lt;&gt;"",N198=IFERROR(INDEX($N$3:N197,MIN(IF(COUNTIF($N$3:N197,"鼠")=0,10^9,LOOKUP(2,1/($N$3:N197="鼠"),ROW($N$3:N197))),IF(COUNTIF($N$3:N197,"牛")=0,10^9,LOOKUP(2,1/($N$3:N197="牛"),ROW($N$3:N197))),IF(COUNTIF($N$3:N197,"虎")=0,10^9,LOOKUP(2,1/($N$3:N197="虎"),ROW($N$3:N197))),IF(COUNTIF($N$3:N197,"兔")=0,10^9,LOOKUP(2,1/($N$3:N197="兔"),ROW($N$3:N197))),IF(COUNTIF($N$3:N197,"龙")=0,10^9,LOOKUP(2,1/($N$3:N197="龙"),ROW($N$3:N197))),IF(COUNTIF($N$3:N197,"蛇")=0,10^9,LOOKUP(2,1/($N$3:N197="蛇"),ROW($N$3:N197))),IF(COUNTIF($N$3:N197,"马")=0,10^9,LOOKUP(2,1/($N$3:N197="马"),ROW($N$3:N197))),IF(COUNTIF($N$3:N197,"羊")=0,10^9,LOOKUP(2,1/($N$3:N197="羊"),ROW($N$3:N197))),IF(COUNTIF($N$3:N197,"猴")=0,10^9,LOOKUP(2,1/($N$3:N197="猴"),ROW($N$3:N197))),IF(COUNTIF($N$3:N197,"鸡")=0,10^9,LOOKUP(2,1/($N$3:N197="鸡"),ROW($N$3:N197))),IF(COUNTIF($N$3:N197,"狗")=0,10^9,LOOKUP(2,1/($N$3:N197="狗"),ROW($N$3:N197))),IF(COUNTIF($N$3:N197,"猪")=0,10^9,LOOKUP(2,1/($N$3:N197="猪"),ROW($N$3:N197))))-ROW($N$3)+1),""))),0,IF(ISNUMBER(J197),J197+1,1)))</f>
        <v/>
      </c>
      <c r="K198" s="5" t="e">
        <f t="shared" si="24"/>
        <v>#N/A</v>
      </c>
      <c r="M198" s="6" t="str">
        <f t="shared" si="20"/>
        <v/>
      </c>
      <c r="N198" s="2" t="e">
        <f t="shared" si="21"/>
        <v>#N/A</v>
      </c>
      <c r="O198" s="7" t="str">
        <f>IF(M198="","",IF(COUNTIF(M199:$M$1000,M198)&gt;0,"",M198))</f>
        <v/>
      </c>
      <c r="P198" s="8" t="e">
        <f>IF(N198="","",IF(COUNTIF(N199:$N$1000,N198)&gt;0,"",N198))</f>
        <v>#N/A</v>
      </c>
      <c r="Q198" s="21" t="e">
        <f t="shared" si="22"/>
        <v>#NUM!</v>
      </c>
      <c r="R198" s="22" t="e">
        <f t="shared" si="23"/>
        <v>#NUM!</v>
      </c>
      <c r="X198" s="2"/>
      <c r="Y198" s="2"/>
    </row>
    <row r="199" s="1" customFormat="1" spans="1:25">
      <c r="A199" s="2">
        <v>115056834</v>
      </c>
      <c r="B199" s="2"/>
      <c r="C199" s="2"/>
      <c r="D199" s="2"/>
      <c r="E199" s="2"/>
      <c r="F199" s="2"/>
      <c r="G199" s="2"/>
      <c r="H199" s="3"/>
      <c r="I199" s="2" t="e">
        <f t="shared" si="19"/>
        <v>#N/A</v>
      </c>
      <c r="J199" s="4" t="str">
        <f>IF(H199="","",IF(OR(AND(M199&lt;&gt;"",M199=IFERROR(INDEX($M$3:M198,MIN(IF(COUNTIF($M$3:M198,"0")=0,10^9,LOOKUP(2,1/($M$3:M198="0"),ROW($M$3:M198))),IF(COUNTIF($M$3:M198,"1")=0,10^9,LOOKUP(2,1/($M$3:M198="1"),ROW($M$3:M198))),IF(COUNTIF($M$3:M198,"2")=0,10^9,LOOKUP(2,1/($M$3:M198="2"),ROW($M$3:M198))),IF(COUNTIF($M$3:M198,"3")=0,10^9,LOOKUP(2,1/($M$3:M198="3"),ROW($M$3:M198))),IF(COUNTIF($M$3:M198,"4")=0,10^9,LOOKUP(2,1/($M$3:M198="4"),ROW($M$3:M198))),IF(COUNTIF($M$3:M198,"5")=0,10^9,LOOKUP(2,1/($M$3:M198="5"),ROW($M$3:M198))),IF(COUNTIF($M$3:M198,"6")=0,10^9,LOOKUP(2,1/($M$3:M198="6"),ROW($M$3:M198))),IF(COUNTIF($M$3:M198,"7")=0,10^9,LOOKUP(2,1/($M$3:M198="7"),ROW($M$3:M198))),IF(COUNTIF($M$3:M198,"8")=0,10^9,LOOKUP(2,1/($M$3:M198="8"),ROW($M$3:M198))),IF(COUNTIF($M$3:M198,"9")=0,10^9,LOOKUP(2,1/($M$3:M198="9"),ROW($M$3:M198))))-ROW($M$3)+1),"")),AND(N199&lt;&gt;"",N199=IFERROR(INDEX($N$3:N198,MIN(IF(COUNTIF($N$3:N198,"鼠")=0,10^9,LOOKUP(2,1/($N$3:N198="鼠"),ROW($N$3:N198))),IF(COUNTIF($N$3:N198,"牛")=0,10^9,LOOKUP(2,1/($N$3:N198="牛"),ROW($N$3:N198))),IF(COUNTIF($N$3:N198,"虎")=0,10^9,LOOKUP(2,1/($N$3:N198="虎"),ROW($N$3:N198))),IF(COUNTIF($N$3:N198,"兔")=0,10^9,LOOKUP(2,1/($N$3:N198="兔"),ROW($N$3:N198))),IF(COUNTIF($N$3:N198,"龙")=0,10^9,LOOKUP(2,1/($N$3:N198="龙"),ROW($N$3:N198))),IF(COUNTIF($N$3:N198,"蛇")=0,10^9,LOOKUP(2,1/($N$3:N198="蛇"),ROW($N$3:N198))),IF(COUNTIF($N$3:N198,"马")=0,10^9,LOOKUP(2,1/($N$3:N198="马"),ROW($N$3:N198))),IF(COUNTIF($N$3:N198,"羊")=0,10^9,LOOKUP(2,1/($N$3:N198="羊"),ROW($N$3:N198))),IF(COUNTIF($N$3:N198,"猴")=0,10^9,LOOKUP(2,1/($N$3:N198="猴"),ROW($N$3:N198))),IF(COUNTIF($N$3:N198,"鸡")=0,10^9,LOOKUP(2,1/($N$3:N198="鸡"),ROW($N$3:N198))),IF(COUNTIF($N$3:N198,"狗")=0,10^9,LOOKUP(2,1/($N$3:N198="狗"),ROW($N$3:N198))),IF(COUNTIF($N$3:N198,"猪")=0,10^9,LOOKUP(2,1/($N$3:N198="猪"),ROW($N$3:N198))))-ROW($N$3)+1),""))),0,IF(ISNUMBER(J198),J198+1,1)))</f>
        <v/>
      </c>
      <c r="K199" s="5" t="e">
        <f t="shared" si="24"/>
        <v>#N/A</v>
      </c>
      <c r="M199" s="6" t="str">
        <f t="shared" si="20"/>
        <v/>
      </c>
      <c r="N199" s="2" t="e">
        <f t="shared" si="21"/>
        <v>#N/A</v>
      </c>
      <c r="O199" s="7" t="str">
        <f>IF(M199="","",IF(COUNTIF(M200:$M$1000,M199)&gt;0,"",M199))</f>
        <v/>
      </c>
      <c r="P199" s="8" t="e">
        <f>IF(N199="","",IF(COUNTIF(N200:$N$1000,N199)&gt;0,"",N199))</f>
        <v>#N/A</v>
      </c>
      <c r="Q199" s="21" t="e">
        <f t="shared" si="22"/>
        <v>#NUM!</v>
      </c>
      <c r="R199" s="22" t="e">
        <f t="shared" si="23"/>
        <v>#NUM!</v>
      </c>
      <c r="X199" s="2"/>
      <c r="Y199" s="2"/>
    </row>
    <row r="200" s="1" customFormat="1" spans="1:25">
      <c r="A200" s="2">
        <v>115056835</v>
      </c>
      <c r="B200" s="2"/>
      <c r="C200" s="2"/>
      <c r="D200" s="2"/>
      <c r="E200" s="2"/>
      <c r="F200" s="2"/>
      <c r="G200" s="2"/>
      <c r="H200" s="3"/>
      <c r="I200" s="2" t="e">
        <f t="shared" si="19"/>
        <v>#N/A</v>
      </c>
      <c r="J200" s="4" t="str">
        <f>IF(H200="","",IF(OR(AND(M200&lt;&gt;"",M200=IFERROR(INDEX($M$3:M199,MIN(IF(COUNTIF($M$3:M199,"0")=0,10^9,LOOKUP(2,1/($M$3:M199="0"),ROW($M$3:M199))),IF(COUNTIF($M$3:M199,"1")=0,10^9,LOOKUP(2,1/($M$3:M199="1"),ROW($M$3:M199))),IF(COUNTIF($M$3:M199,"2")=0,10^9,LOOKUP(2,1/($M$3:M199="2"),ROW($M$3:M199))),IF(COUNTIF($M$3:M199,"3")=0,10^9,LOOKUP(2,1/($M$3:M199="3"),ROW($M$3:M199))),IF(COUNTIF($M$3:M199,"4")=0,10^9,LOOKUP(2,1/($M$3:M199="4"),ROW($M$3:M199))),IF(COUNTIF($M$3:M199,"5")=0,10^9,LOOKUP(2,1/($M$3:M199="5"),ROW($M$3:M199))),IF(COUNTIF($M$3:M199,"6")=0,10^9,LOOKUP(2,1/($M$3:M199="6"),ROW($M$3:M199))),IF(COUNTIF($M$3:M199,"7")=0,10^9,LOOKUP(2,1/($M$3:M199="7"),ROW($M$3:M199))),IF(COUNTIF($M$3:M199,"8")=0,10^9,LOOKUP(2,1/($M$3:M199="8"),ROW($M$3:M199))),IF(COUNTIF($M$3:M199,"9")=0,10^9,LOOKUP(2,1/($M$3:M199="9"),ROW($M$3:M199))))-ROW($M$3)+1),"")),AND(N200&lt;&gt;"",N200=IFERROR(INDEX($N$3:N199,MIN(IF(COUNTIF($N$3:N199,"鼠")=0,10^9,LOOKUP(2,1/($N$3:N199="鼠"),ROW($N$3:N199))),IF(COUNTIF($N$3:N199,"牛")=0,10^9,LOOKUP(2,1/($N$3:N199="牛"),ROW($N$3:N199))),IF(COUNTIF($N$3:N199,"虎")=0,10^9,LOOKUP(2,1/($N$3:N199="虎"),ROW($N$3:N199))),IF(COUNTIF($N$3:N199,"兔")=0,10^9,LOOKUP(2,1/($N$3:N199="兔"),ROW($N$3:N199))),IF(COUNTIF($N$3:N199,"龙")=0,10^9,LOOKUP(2,1/($N$3:N199="龙"),ROW($N$3:N199))),IF(COUNTIF($N$3:N199,"蛇")=0,10^9,LOOKUP(2,1/($N$3:N199="蛇"),ROW($N$3:N199))),IF(COUNTIF($N$3:N199,"马")=0,10^9,LOOKUP(2,1/($N$3:N199="马"),ROW($N$3:N199))),IF(COUNTIF($N$3:N199,"羊")=0,10^9,LOOKUP(2,1/($N$3:N199="羊"),ROW($N$3:N199))),IF(COUNTIF($N$3:N199,"猴")=0,10^9,LOOKUP(2,1/($N$3:N199="猴"),ROW($N$3:N199))),IF(COUNTIF($N$3:N199,"鸡")=0,10^9,LOOKUP(2,1/($N$3:N199="鸡"),ROW($N$3:N199))),IF(COUNTIF($N$3:N199,"狗")=0,10^9,LOOKUP(2,1/($N$3:N199="狗"),ROW($N$3:N199))),IF(COUNTIF($N$3:N199,"猪")=0,10^9,LOOKUP(2,1/($N$3:N199="猪"),ROW($N$3:N199))))-ROW($N$3)+1),""))),0,IF(ISNUMBER(J199),J199+1,1)))</f>
        <v/>
      </c>
      <c r="K200" s="5" t="e">
        <f t="shared" si="24"/>
        <v>#N/A</v>
      </c>
      <c r="M200" s="6" t="str">
        <f t="shared" si="20"/>
        <v/>
      </c>
      <c r="N200" s="2" t="e">
        <f t="shared" si="21"/>
        <v>#N/A</v>
      </c>
      <c r="O200" s="7" t="str">
        <f>IF(M200="","",IF(COUNTIF(M201:$M$1000,M200)&gt;0,"",M200))</f>
        <v/>
      </c>
      <c r="P200" s="8" t="e">
        <f>IF(N200="","",IF(COUNTIF(N201:$N$1000,N200)&gt;0,"",N200))</f>
        <v>#N/A</v>
      </c>
      <c r="Q200" s="21" t="e">
        <f t="shared" si="22"/>
        <v>#NUM!</v>
      </c>
      <c r="R200" s="22" t="e">
        <f t="shared" si="23"/>
        <v>#NUM!</v>
      </c>
      <c r="X200" s="2"/>
      <c r="Y200" s="2"/>
    </row>
    <row r="201" s="1" customFormat="1" spans="1:25">
      <c r="A201" s="2">
        <v>115056836</v>
      </c>
      <c r="B201" s="2"/>
      <c r="C201" s="2"/>
      <c r="D201" s="2"/>
      <c r="E201" s="2"/>
      <c r="F201" s="2"/>
      <c r="G201" s="2"/>
      <c r="H201" s="3"/>
      <c r="I201" s="2" t="e">
        <f t="shared" si="19"/>
        <v>#N/A</v>
      </c>
      <c r="J201" s="4" t="str">
        <f>IF(H201="","",IF(OR(AND(M201&lt;&gt;"",M201=IFERROR(INDEX($M$3:M200,MIN(IF(COUNTIF($M$3:M200,"0")=0,10^9,LOOKUP(2,1/($M$3:M200="0"),ROW($M$3:M200))),IF(COUNTIF($M$3:M200,"1")=0,10^9,LOOKUP(2,1/($M$3:M200="1"),ROW($M$3:M200))),IF(COUNTIF($M$3:M200,"2")=0,10^9,LOOKUP(2,1/($M$3:M200="2"),ROW($M$3:M200))),IF(COUNTIF($M$3:M200,"3")=0,10^9,LOOKUP(2,1/($M$3:M200="3"),ROW($M$3:M200))),IF(COUNTIF($M$3:M200,"4")=0,10^9,LOOKUP(2,1/($M$3:M200="4"),ROW($M$3:M200))),IF(COUNTIF($M$3:M200,"5")=0,10^9,LOOKUP(2,1/($M$3:M200="5"),ROW($M$3:M200))),IF(COUNTIF($M$3:M200,"6")=0,10^9,LOOKUP(2,1/($M$3:M200="6"),ROW($M$3:M200))),IF(COUNTIF($M$3:M200,"7")=0,10^9,LOOKUP(2,1/($M$3:M200="7"),ROW($M$3:M200))),IF(COUNTIF($M$3:M200,"8")=0,10^9,LOOKUP(2,1/($M$3:M200="8"),ROW($M$3:M200))),IF(COUNTIF($M$3:M200,"9")=0,10^9,LOOKUP(2,1/($M$3:M200="9"),ROW($M$3:M200))))-ROW($M$3)+1),"")),AND(N201&lt;&gt;"",N201=IFERROR(INDEX($N$3:N200,MIN(IF(COUNTIF($N$3:N200,"鼠")=0,10^9,LOOKUP(2,1/($N$3:N200="鼠"),ROW($N$3:N200))),IF(COUNTIF($N$3:N200,"牛")=0,10^9,LOOKUP(2,1/($N$3:N200="牛"),ROW($N$3:N200))),IF(COUNTIF($N$3:N200,"虎")=0,10^9,LOOKUP(2,1/($N$3:N200="虎"),ROW($N$3:N200))),IF(COUNTIF($N$3:N200,"兔")=0,10^9,LOOKUP(2,1/($N$3:N200="兔"),ROW($N$3:N200))),IF(COUNTIF($N$3:N200,"龙")=0,10^9,LOOKUP(2,1/($N$3:N200="龙"),ROW($N$3:N200))),IF(COUNTIF($N$3:N200,"蛇")=0,10^9,LOOKUP(2,1/($N$3:N200="蛇"),ROW($N$3:N200))),IF(COUNTIF($N$3:N200,"马")=0,10^9,LOOKUP(2,1/($N$3:N200="马"),ROW($N$3:N200))),IF(COUNTIF($N$3:N200,"羊")=0,10^9,LOOKUP(2,1/($N$3:N200="羊"),ROW($N$3:N200))),IF(COUNTIF($N$3:N200,"猴")=0,10^9,LOOKUP(2,1/($N$3:N200="猴"),ROW($N$3:N200))),IF(COUNTIF($N$3:N200,"鸡")=0,10^9,LOOKUP(2,1/($N$3:N200="鸡"),ROW($N$3:N200))),IF(COUNTIF($N$3:N200,"狗")=0,10^9,LOOKUP(2,1/($N$3:N200="狗"),ROW($N$3:N200))),IF(COUNTIF($N$3:N200,"猪")=0,10^9,LOOKUP(2,1/($N$3:N200="猪"),ROW($N$3:N200))))-ROW($N$3)+1),""))),0,IF(ISNUMBER(J200),J200+1,1)))</f>
        <v/>
      </c>
      <c r="K201" s="5" t="e">
        <f t="shared" si="24"/>
        <v>#N/A</v>
      </c>
      <c r="M201" s="6" t="str">
        <f t="shared" si="20"/>
        <v/>
      </c>
      <c r="N201" s="2" t="e">
        <f t="shared" si="21"/>
        <v>#N/A</v>
      </c>
      <c r="O201" s="7" t="str">
        <f>IF(M201="","",IF(COUNTIF(M202:$M$1000,M201)&gt;0,"",M201))</f>
        <v/>
      </c>
      <c r="P201" s="8" t="e">
        <f>IF(N201="","",IF(COUNTIF(N202:$N$1000,N201)&gt;0,"",N201))</f>
        <v>#N/A</v>
      </c>
      <c r="Q201" s="21" t="e">
        <f t="shared" si="22"/>
        <v>#NUM!</v>
      </c>
      <c r="R201" s="22" t="e">
        <f t="shared" si="23"/>
        <v>#NUM!</v>
      </c>
      <c r="X201" s="2"/>
      <c r="Y201" s="2"/>
    </row>
    <row r="202" s="1" customFormat="1" spans="1:25">
      <c r="A202" s="2">
        <v>115056837</v>
      </c>
      <c r="B202" s="2"/>
      <c r="C202" s="2"/>
      <c r="D202" s="2"/>
      <c r="E202" s="2"/>
      <c r="F202" s="2"/>
      <c r="G202" s="2"/>
      <c r="H202" s="3"/>
      <c r="I202" s="2" t="e">
        <f t="shared" si="19"/>
        <v>#N/A</v>
      </c>
      <c r="J202" s="4" t="str">
        <f>IF(H202="","",IF(OR(AND(M202&lt;&gt;"",M202=IFERROR(INDEX($M$3:M201,MIN(IF(COUNTIF($M$3:M201,"0")=0,10^9,LOOKUP(2,1/($M$3:M201="0"),ROW($M$3:M201))),IF(COUNTIF($M$3:M201,"1")=0,10^9,LOOKUP(2,1/($M$3:M201="1"),ROW($M$3:M201))),IF(COUNTIF($M$3:M201,"2")=0,10^9,LOOKUP(2,1/($M$3:M201="2"),ROW($M$3:M201))),IF(COUNTIF($M$3:M201,"3")=0,10^9,LOOKUP(2,1/($M$3:M201="3"),ROW($M$3:M201))),IF(COUNTIF($M$3:M201,"4")=0,10^9,LOOKUP(2,1/($M$3:M201="4"),ROW($M$3:M201))),IF(COUNTIF($M$3:M201,"5")=0,10^9,LOOKUP(2,1/($M$3:M201="5"),ROW($M$3:M201))),IF(COUNTIF($M$3:M201,"6")=0,10^9,LOOKUP(2,1/($M$3:M201="6"),ROW($M$3:M201))),IF(COUNTIF($M$3:M201,"7")=0,10^9,LOOKUP(2,1/($M$3:M201="7"),ROW($M$3:M201))),IF(COUNTIF($M$3:M201,"8")=0,10^9,LOOKUP(2,1/($M$3:M201="8"),ROW($M$3:M201))),IF(COUNTIF($M$3:M201,"9")=0,10^9,LOOKUP(2,1/($M$3:M201="9"),ROW($M$3:M201))))-ROW($M$3)+1),"")),AND(N202&lt;&gt;"",N202=IFERROR(INDEX($N$3:N201,MIN(IF(COUNTIF($N$3:N201,"鼠")=0,10^9,LOOKUP(2,1/($N$3:N201="鼠"),ROW($N$3:N201))),IF(COUNTIF($N$3:N201,"牛")=0,10^9,LOOKUP(2,1/($N$3:N201="牛"),ROW($N$3:N201))),IF(COUNTIF($N$3:N201,"虎")=0,10^9,LOOKUP(2,1/($N$3:N201="虎"),ROW($N$3:N201))),IF(COUNTIF($N$3:N201,"兔")=0,10^9,LOOKUP(2,1/($N$3:N201="兔"),ROW($N$3:N201))),IF(COUNTIF($N$3:N201,"龙")=0,10^9,LOOKUP(2,1/($N$3:N201="龙"),ROW($N$3:N201))),IF(COUNTIF($N$3:N201,"蛇")=0,10^9,LOOKUP(2,1/($N$3:N201="蛇"),ROW($N$3:N201))),IF(COUNTIF($N$3:N201,"马")=0,10^9,LOOKUP(2,1/($N$3:N201="马"),ROW($N$3:N201))),IF(COUNTIF($N$3:N201,"羊")=0,10^9,LOOKUP(2,1/($N$3:N201="羊"),ROW($N$3:N201))),IF(COUNTIF($N$3:N201,"猴")=0,10^9,LOOKUP(2,1/($N$3:N201="猴"),ROW($N$3:N201))),IF(COUNTIF($N$3:N201,"鸡")=0,10^9,LOOKUP(2,1/($N$3:N201="鸡"),ROW($N$3:N201))),IF(COUNTIF($N$3:N201,"狗")=0,10^9,LOOKUP(2,1/($N$3:N201="狗"),ROW($N$3:N201))),IF(COUNTIF($N$3:N201,"猪")=0,10^9,LOOKUP(2,1/($N$3:N201="猪"),ROW($N$3:N201))))-ROW($N$3)+1),""))),0,IF(ISNUMBER(J201),J201+1,1)))</f>
        <v/>
      </c>
      <c r="K202" s="5" t="e">
        <f t="shared" si="24"/>
        <v>#N/A</v>
      </c>
      <c r="M202" s="6" t="str">
        <f t="shared" si="20"/>
        <v/>
      </c>
      <c r="N202" s="2" t="e">
        <f t="shared" si="21"/>
        <v>#N/A</v>
      </c>
      <c r="O202" s="7" t="str">
        <f>IF(M202="","",IF(COUNTIF(M203:$M$1000,M202)&gt;0,"",M202))</f>
        <v/>
      </c>
      <c r="P202" s="8" t="e">
        <f>IF(N202="","",IF(COUNTIF(N203:$N$1000,N202)&gt;0,"",N202))</f>
        <v>#N/A</v>
      </c>
      <c r="Q202" s="21" t="e">
        <f t="shared" si="22"/>
        <v>#NUM!</v>
      </c>
      <c r="R202" s="22" t="e">
        <f t="shared" si="23"/>
        <v>#NUM!</v>
      </c>
      <c r="X202" s="2"/>
      <c r="Y202" s="2"/>
    </row>
    <row r="203" s="1" customFormat="1" spans="1:25">
      <c r="A203" s="2">
        <v>115056838</v>
      </c>
      <c r="B203" s="2"/>
      <c r="C203" s="2"/>
      <c r="D203" s="2"/>
      <c r="E203" s="2"/>
      <c r="F203" s="2"/>
      <c r="G203" s="2"/>
      <c r="H203" s="3"/>
      <c r="I203" s="2" t="e">
        <f t="shared" si="19"/>
        <v>#N/A</v>
      </c>
      <c r="J203" s="4" t="str">
        <f>IF(H203="","",IF(OR(AND(M203&lt;&gt;"",M203=IFERROR(INDEX($M$3:M202,MIN(IF(COUNTIF($M$3:M202,"0")=0,10^9,LOOKUP(2,1/($M$3:M202="0"),ROW($M$3:M202))),IF(COUNTIF($M$3:M202,"1")=0,10^9,LOOKUP(2,1/($M$3:M202="1"),ROW($M$3:M202))),IF(COUNTIF($M$3:M202,"2")=0,10^9,LOOKUP(2,1/($M$3:M202="2"),ROW($M$3:M202))),IF(COUNTIF($M$3:M202,"3")=0,10^9,LOOKUP(2,1/($M$3:M202="3"),ROW($M$3:M202))),IF(COUNTIF($M$3:M202,"4")=0,10^9,LOOKUP(2,1/($M$3:M202="4"),ROW($M$3:M202))),IF(COUNTIF($M$3:M202,"5")=0,10^9,LOOKUP(2,1/($M$3:M202="5"),ROW($M$3:M202))),IF(COUNTIF($M$3:M202,"6")=0,10^9,LOOKUP(2,1/($M$3:M202="6"),ROW($M$3:M202))),IF(COUNTIF($M$3:M202,"7")=0,10^9,LOOKUP(2,1/($M$3:M202="7"),ROW($M$3:M202))),IF(COUNTIF($M$3:M202,"8")=0,10^9,LOOKUP(2,1/($M$3:M202="8"),ROW($M$3:M202))),IF(COUNTIF($M$3:M202,"9")=0,10^9,LOOKUP(2,1/($M$3:M202="9"),ROW($M$3:M202))))-ROW($M$3)+1),"")),AND(N203&lt;&gt;"",N203=IFERROR(INDEX($N$3:N202,MIN(IF(COUNTIF($N$3:N202,"鼠")=0,10^9,LOOKUP(2,1/($N$3:N202="鼠"),ROW($N$3:N202))),IF(COUNTIF($N$3:N202,"牛")=0,10^9,LOOKUP(2,1/($N$3:N202="牛"),ROW($N$3:N202))),IF(COUNTIF($N$3:N202,"虎")=0,10^9,LOOKUP(2,1/($N$3:N202="虎"),ROW($N$3:N202))),IF(COUNTIF($N$3:N202,"兔")=0,10^9,LOOKUP(2,1/($N$3:N202="兔"),ROW($N$3:N202))),IF(COUNTIF($N$3:N202,"龙")=0,10^9,LOOKUP(2,1/($N$3:N202="龙"),ROW($N$3:N202))),IF(COUNTIF($N$3:N202,"蛇")=0,10^9,LOOKUP(2,1/($N$3:N202="蛇"),ROW($N$3:N202))),IF(COUNTIF($N$3:N202,"马")=0,10^9,LOOKUP(2,1/($N$3:N202="马"),ROW($N$3:N202))),IF(COUNTIF($N$3:N202,"羊")=0,10^9,LOOKUP(2,1/($N$3:N202="羊"),ROW($N$3:N202))),IF(COUNTIF($N$3:N202,"猴")=0,10^9,LOOKUP(2,1/($N$3:N202="猴"),ROW($N$3:N202))),IF(COUNTIF($N$3:N202,"鸡")=0,10^9,LOOKUP(2,1/($N$3:N202="鸡"),ROW($N$3:N202))),IF(COUNTIF($N$3:N202,"狗")=0,10^9,LOOKUP(2,1/($N$3:N202="狗"),ROW($N$3:N202))),IF(COUNTIF($N$3:N202,"猪")=0,10^9,LOOKUP(2,1/($N$3:N202="猪"),ROW($N$3:N202))))-ROW($N$3)+1),""))),0,IF(ISNUMBER(J202),J202+1,1)))</f>
        <v/>
      </c>
      <c r="K203" s="5" t="e">
        <f t="shared" si="24"/>
        <v>#N/A</v>
      </c>
      <c r="M203" s="6" t="str">
        <f t="shared" si="20"/>
        <v/>
      </c>
      <c r="N203" s="2" t="e">
        <f t="shared" si="21"/>
        <v>#N/A</v>
      </c>
      <c r="O203" s="7" t="str">
        <f>IF(M203="","",IF(COUNTIF(M204:$M$1000,M203)&gt;0,"",M203))</f>
        <v/>
      </c>
      <c r="P203" s="8" t="e">
        <f>IF(N203="","",IF(COUNTIF(N204:$N$1000,N203)&gt;0,"",N203))</f>
        <v>#N/A</v>
      </c>
      <c r="Q203" s="21" t="e">
        <f t="shared" si="22"/>
        <v>#NUM!</v>
      </c>
      <c r="R203" s="22" t="e">
        <f t="shared" si="23"/>
        <v>#NUM!</v>
      </c>
      <c r="X203" s="2"/>
      <c r="Y203" s="2"/>
    </row>
    <row r="204" s="1" customFormat="1" spans="1:25">
      <c r="A204" s="2">
        <v>115056839</v>
      </c>
      <c r="B204" s="2"/>
      <c r="C204" s="2"/>
      <c r="D204" s="2"/>
      <c r="E204" s="2"/>
      <c r="F204" s="2"/>
      <c r="G204" s="2"/>
      <c r="H204" s="3"/>
      <c r="I204" s="2" t="e">
        <f t="shared" si="19"/>
        <v>#N/A</v>
      </c>
      <c r="J204" s="4" t="str">
        <f>IF(H204="","",IF(OR(AND(M204&lt;&gt;"",M204=IFERROR(INDEX($M$3:M203,MIN(IF(COUNTIF($M$3:M203,"0")=0,10^9,LOOKUP(2,1/($M$3:M203="0"),ROW($M$3:M203))),IF(COUNTIF($M$3:M203,"1")=0,10^9,LOOKUP(2,1/($M$3:M203="1"),ROW($M$3:M203))),IF(COUNTIF($M$3:M203,"2")=0,10^9,LOOKUP(2,1/($M$3:M203="2"),ROW($M$3:M203))),IF(COUNTIF($M$3:M203,"3")=0,10^9,LOOKUP(2,1/($M$3:M203="3"),ROW($M$3:M203))),IF(COUNTIF($M$3:M203,"4")=0,10^9,LOOKUP(2,1/($M$3:M203="4"),ROW($M$3:M203))),IF(COUNTIF($M$3:M203,"5")=0,10^9,LOOKUP(2,1/($M$3:M203="5"),ROW($M$3:M203))),IF(COUNTIF($M$3:M203,"6")=0,10^9,LOOKUP(2,1/($M$3:M203="6"),ROW($M$3:M203))),IF(COUNTIF($M$3:M203,"7")=0,10^9,LOOKUP(2,1/($M$3:M203="7"),ROW($M$3:M203))),IF(COUNTIF($M$3:M203,"8")=0,10^9,LOOKUP(2,1/($M$3:M203="8"),ROW($M$3:M203))),IF(COUNTIF($M$3:M203,"9")=0,10^9,LOOKUP(2,1/($M$3:M203="9"),ROW($M$3:M203))))-ROW($M$3)+1),"")),AND(N204&lt;&gt;"",N204=IFERROR(INDEX($N$3:N203,MIN(IF(COUNTIF($N$3:N203,"鼠")=0,10^9,LOOKUP(2,1/($N$3:N203="鼠"),ROW($N$3:N203))),IF(COUNTIF($N$3:N203,"牛")=0,10^9,LOOKUP(2,1/($N$3:N203="牛"),ROW($N$3:N203))),IF(COUNTIF($N$3:N203,"虎")=0,10^9,LOOKUP(2,1/($N$3:N203="虎"),ROW($N$3:N203))),IF(COUNTIF($N$3:N203,"兔")=0,10^9,LOOKUP(2,1/($N$3:N203="兔"),ROW($N$3:N203))),IF(COUNTIF($N$3:N203,"龙")=0,10^9,LOOKUP(2,1/($N$3:N203="龙"),ROW($N$3:N203))),IF(COUNTIF($N$3:N203,"蛇")=0,10^9,LOOKUP(2,1/($N$3:N203="蛇"),ROW($N$3:N203))),IF(COUNTIF($N$3:N203,"马")=0,10^9,LOOKUP(2,1/($N$3:N203="马"),ROW($N$3:N203))),IF(COUNTIF($N$3:N203,"羊")=0,10^9,LOOKUP(2,1/($N$3:N203="羊"),ROW($N$3:N203))),IF(COUNTIF($N$3:N203,"猴")=0,10^9,LOOKUP(2,1/($N$3:N203="猴"),ROW($N$3:N203))),IF(COUNTIF($N$3:N203,"鸡")=0,10^9,LOOKUP(2,1/($N$3:N203="鸡"),ROW($N$3:N203))),IF(COUNTIF($N$3:N203,"狗")=0,10^9,LOOKUP(2,1/($N$3:N203="狗"),ROW($N$3:N203))),IF(COUNTIF($N$3:N203,"猪")=0,10^9,LOOKUP(2,1/($N$3:N203="猪"),ROW($N$3:N203))))-ROW($N$3)+1),""))),0,IF(ISNUMBER(J203),J203+1,1)))</f>
        <v/>
      </c>
      <c r="K204" s="5" t="e">
        <f t="shared" si="24"/>
        <v>#N/A</v>
      </c>
      <c r="M204" s="6" t="str">
        <f t="shared" si="20"/>
        <v/>
      </c>
      <c r="N204" s="2" t="e">
        <f t="shared" si="21"/>
        <v>#N/A</v>
      </c>
      <c r="O204" s="7" t="str">
        <f>IF(M204="","",IF(COUNTIF(M205:$M$1000,M204)&gt;0,"",M204))</f>
        <v/>
      </c>
      <c r="P204" s="8" t="e">
        <f>IF(N204="","",IF(COUNTIF(N205:$N$1000,N204)&gt;0,"",N204))</f>
        <v>#N/A</v>
      </c>
      <c r="Q204" s="21" t="e">
        <f t="shared" si="22"/>
        <v>#NUM!</v>
      </c>
      <c r="R204" s="22" t="e">
        <f t="shared" si="23"/>
        <v>#NUM!</v>
      </c>
      <c r="X204" s="2"/>
      <c r="Y204" s="2"/>
    </row>
    <row r="205" s="1" customFormat="1" spans="1:25">
      <c r="A205" s="2">
        <v>115056840</v>
      </c>
      <c r="B205" s="2"/>
      <c r="C205" s="2"/>
      <c r="D205" s="2"/>
      <c r="E205" s="2"/>
      <c r="F205" s="2"/>
      <c r="G205" s="2"/>
      <c r="H205" s="3"/>
      <c r="I205" s="2" t="e">
        <f t="shared" si="19"/>
        <v>#N/A</v>
      </c>
      <c r="J205" s="4" t="str">
        <f>IF(H205="","",IF(OR(AND(M205&lt;&gt;"",M205=IFERROR(INDEX($M$3:M204,MIN(IF(COUNTIF($M$3:M204,"0")=0,10^9,LOOKUP(2,1/($M$3:M204="0"),ROW($M$3:M204))),IF(COUNTIF($M$3:M204,"1")=0,10^9,LOOKUP(2,1/($M$3:M204="1"),ROW($M$3:M204))),IF(COUNTIF($M$3:M204,"2")=0,10^9,LOOKUP(2,1/($M$3:M204="2"),ROW($M$3:M204))),IF(COUNTIF($M$3:M204,"3")=0,10^9,LOOKUP(2,1/($M$3:M204="3"),ROW($M$3:M204))),IF(COUNTIF($M$3:M204,"4")=0,10^9,LOOKUP(2,1/($M$3:M204="4"),ROW($M$3:M204))),IF(COUNTIF($M$3:M204,"5")=0,10^9,LOOKUP(2,1/($M$3:M204="5"),ROW($M$3:M204))),IF(COUNTIF($M$3:M204,"6")=0,10^9,LOOKUP(2,1/($M$3:M204="6"),ROW($M$3:M204))),IF(COUNTIF($M$3:M204,"7")=0,10^9,LOOKUP(2,1/($M$3:M204="7"),ROW($M$3:M204))),IF(COUNTIF($M$3:M204,"8")=0,10^9,LOOKUP(2,1/($M$3:M204="8"),ROW($M$3:M204))),IF(COUNTIF($M$3:M204,"9")=0,10^9,LOOKUP(2,1/($M$3:M204="9"),ROW($M$3:M204))))-ROW($M$3)+1),"")),AND(N205&lt;&gt;"",N205=IFERROR(INDEX($N$3:N204,MIN(IF(COUNTIF($N$3:N204,"鼠")=0,10^9,LOOKUP(2,1/($N$3:N204="鼠"),ROW($N$3:N204))),IF(COUNTIF($N$3:N204,"牛")=0,10^9,LOOKUP(2,1/($N$3:N204="牛"),ROW($N$3:N204))),IF(COUNTIF($N$3:N204,"虎")=0,10^9,LOOKUP(2,1/($N$3:N204="虎"),ROW($N$3:N204))),IF(COUNTIF($N$3:N204,"兔")=0,10^9,LOOKUP(2,1/($N$3:N204="兔"),ROW($N$3:N204))),IF(COUNTIF($N$3:N204,"龙")=0,10^9,LOOKUP(2,1/($N$3:N204="龙"),ROW($N$3:N204))),IF(COUNTIF($N$3:N204,"蛇")=0,10^9,LOOKUP(2,1/($N$3:N204="蛇"),ROW($N$3:N204))),IF(COUNTIF($N$3:N204,"马")=0,10^9,LOOKUP(2,1/($N$3:N204="马"),ROW($N$3:N204))),IF(COUNTIF($N$3:N204,"羊")=0,10^9,LOOKUP(2,1/($N$3:N204="羊"),ROW($N$3:N204))),IF(COUNTIF($N$3:N204,"猴")=0,10^9,LOOKUP(2,1/($N$3:N204="猴"),ROW($N$3:N204))),IF(COUNTIF($N$3:N204,"鸡")=0,10^9,LOOKUP(2,1/($N$3:N204="鸡"),ROW($N$3:N204))),IF(COUNTIF($N$3:N204,"狗")=0,10^9,LOOKUP(2,1/($N$3:N204="狗"),ROW($N$3:N204))),IF(COUNTIF($N$3:N204,"猪")=0,10^9,LOOKUP(2,1/($N$3:N204="猪"),ROW($N$3:N204))))-ROW($N$3)+1),""))),0,IF(ISNUMBER(J204),J204+1,1)))</f>
        <v/>
      </c>
      <c r="K205" s="5" t="e">
        <f t="shared" si="24"/>
        <v>#N/A</v>
      </c>
      <c r="M205" s="6" t="str">
        <f t="shared" si="20"/>
        <v/>
      </c>
      <c r="N205" s="2" t="e">
        <f t="shared" si="21"/>
        <v>#N/A</v>
      </c>
      <c r="O205" s="7" t="str">
        <f>IF(M205="","",IF(COUNTIF(M206:$M$1000,M205)&gt;0,"",M205))</f>
        <v/>
      </c>
      <c r="P205" s="8" t="e">
        <f>IF(N205="","",IF(COUNTIF(N206:$N$1000,N205)&gt;0,"",N205))</f>
        <v>#N/A</v>
      </c>
      <c r="Q205" s="21" t="e">
        <f t="shared" si="22"/>
        <v>#NUM!</v>
      </c>
      <c r="R205" s="22" t="e">
        <f t="shared" si="23"/>
        <v>#NUM!</v>
      </c>
      <c r="X205" s="2"/>
      <c r="Y205" s="2"/>
    </row>
    <row r="206" s="1" customFormat="1" spans="1:25">
      <c r="A206" s="2">
        <v>115056841</v>
      </c>
      <c r="B206" s="2"/>
      <c r="C206" s="2"/>
      <c r="D206" s="2"/>
      <c r="E206" s="2"/>
      <c r="F206" s="2"/>
      <c r="G206" s="2"/>
      <c r="H206" s="3"/>
      <c r="I206" s="2" t="e">
        <f t="shared" si="19"/>
        <v>#N/A</v>
      </c>
      <c r="J206" s="4" t="str">
        <f>IF(H206="","",IF(OR(AND(M206&lt;&gt;"",M206=IFERROR(INDEX($M$3:M205,MIN(IF(COUNTIF($M$3:M205,"0")=0,10^9,LOOKUP(2,1/($M$3:M205="0"),ROW($M$3:M205))),IF(COUNTIF($M$3:M205,"1")=0,10^9,LOOKUP(2,1/($M$3:M205="1"),ROW($M$3:M205))),IF(COUNTIF($M$3:M205,"2")=0,10^9,LOOKUP(2,1/($M$3:M205="2"),ROW($M$3:M205))),IF(COUNTIF($M$3:M205,"3")=0,10^9,LOOKUP(2,1/($M$3:M205="3"),ROW($M$3:M205))),IF(COUNTIF($M$3:M205,"4")=0,10^9,LOOKUP(2,1/($M$3:M205="4"),ROW($M$3:M205))),IF(COUNTIF($M$3:M205,"5")=0,10^9,LOOKUP(2,1/($M$3:M205="5"),ROW($M$3:M205))),IF(COUNTIF($M$3:M205,"6")=0,10^9,LOOKUP(2,1/($M$3:M205="6"),ROW($M$3:M205))),IF(COUNTIF($M$3:M205,"7")=0,10^9,LOOKUP(2,1/($M$3:M205="7"),ROW($M$3:M205))),IF(COUNTIF($M$3:M205,"8")=0,10^9,LOOKUP(2,1/($M$3:M205="8"),ROW($M$3:M205))),IF(COUNTIF($M$3:M205,"9")=0,10^9,LOOKUP(2,1/($M$3:M205="9"),ROW($M$3:M205))))-ROW($M$3)+1),"")),AND(N206&lt;&gt;"",N206=IFERROR(INDEX($N$3:N205,MIN(IF(COUNTIF($N$3:N205,"鼠")=0,10^9,LOOKUP(2,1/($N$3:N205="鼠"),ROW($N$3:N205))),IF(COUNTIF($N$3:N205,"牛")=0,10^9,LOOKUP(2,1/($N$3:N205="牛"),ROW($N$3:N205))),IF(COUNTIF($N$3:N205,"虎")=0,10^9,LOOKUP(2,1/($N$3:N205="虎"),ROW($N$3:N205))),IF(COUNTIF($N$3:N205,"兔")=0,10^9,LOOKUP(2,1/($N$3:N205="兔"),ROW($N$3:N205))),IF(COUNTIF($N$3:N205,"龙")=0,10^9,LOOKUP(2,1/($N$3:N205="龙"),ROW($N$3:N205))),IF(COUNTIF($N$3:N205,"蛇")=0,10^9,LOOKUP(2,1/($N$3:N205="蛇"),ROW($N$3:N205))),IF(COUNTIF($N$3:N205,"马")=0,10^9,LOOKUP(2,1/($N$3:N205="马"),ROW($N$3:N205))),IF(COUNTIF($N$3:N205,"羊")=0,10^9,LOOKUP(2,1/($N$3:N205="羊"),ROW($N$3:N205))),IF(COUNTIF($N$3:N205,"猴")=0,10^9,LOOKUP(2,1/($N$3:N205="猴"),ROW($N$3:N205))),IF(COUNTIF($N$3:N205,"鸡")=0,10^9,LOOKUP(2,1/($N$3:N205="鸡"),ROW($N$3:N205))),IF(COUNTIF($N$3:N205,"狗")=0,10^9,LOOKUP(2,1/($N$3:N205="狗"),ROW($N$3:N205))),IF(COUNTIF($N$3:N205,"猪")=0,10^9,LOOKUP(2,1/($N$3:N205="猪"),ROW($N$3:N205))))-ROW($N$3)+1),""))),0,IF(ISNUMBER(J205),J205+1,1)))</f>
        <v/>
      </c>
      <c r="K206" s="5" t="e">
        <f t="shared" si="24"/>
        <v>#N/A</v>
      </c>
      <c r="M206" s="6" t="str">
        <f t="shared" si="20"/>
        <v/>
      </c>
      <c r="N206" s="2" t="e">
        <f t="shared" si="21"/>
        <v>#N/A</v>
      </c>
      <c r="O206" s="7" t="str">
        <f>IF(M206="","",IF(COUNTIF(M207:$M$1000,M206)&gt;0,"",M206))</f>
        <v/>
      </c>
      <c r="P206" s="8" t="e">
        <f>IF(N206="","",IF(COUNTIF(N207:$N$1000,N206)&gt;0,"",N206))</f>
        <v>#N/A</v>
      </c>
      <c r="Q206" s="21" t="e">
        <f t="shared" si="22"/>
        <v>#NUM!</v>
      </c>
      <c r="R206" s="22" t="e">
        <f t="shared" si="23"/>
        <v>#NUM!</v>
      </c>
      <c r="X206" s="2"/>
      <c r="Y206" s="2"/>
    </row>
    <row r="207" s="1" customFormat="1" spans="1:25">
      <c r="A207" s="2">
        <v>115056842</v>
      </c>
      <c r="B207" s="2"/>
      <c r="C207" s="2"/>
      <c r="D207" s="2"/>
      <c r="E207" s="2"/>
      <c r="F207" s="2"/>
      <c r="G207" s="2"/>
      <c r="H207" s="3"/>
      <c r="I207" s="2" t="e">
        <f t="shared" si="19"/>
        <v>#N/A</v>
      </c>
      <c r="J207" s="4" t="str">
        <f>IF(H207="","",IF(OR(AND(M207&lt;&gt;"",M207=IFERROR(INDEX($M$3:M206,MIN(IF(COUNTIF($M$3:M206,"0")=0,10^9,LOOKUP(2,1/($M$3:M206="0"),ROW($M$3:M206))),IF(COUNTIF($M$3:M206,"1")=0,10^9,LOOKUP(2,1/($M$3:M206="1"),ROW($M$3:M206))),IF(COUNTIF($M$3:M206,"2")=0,10^9,LOOKUP(2,1/($M$3:M206="2"),ROW($M$3:M206))),IF(COUNTIF($M$3:M206,"3")=0,10^9,LOOKUP(2,1/($M$3:M206="3"),ROW($M$3:M206))),IF(COUNTIF($M$3:M206,"4")=0,10^9,LOOKUP(2,1/($M$3:M206="4"),ROW($M$3:M206))),IF(COUNTIF($M$3:M206,"5")=0,10^9,LOOKUP(2,1/($M$3:M206="5"),ROW($M$3:M206))),IF(COUNTIF($M$3:M206,"6")=0,10^9,LOOKUP(2,1/($M$3:M206="6"),ROW($M$3:M206))),IF(COUNTIF($M$3:M206,"7")=0,10^9,LOOKUP(2,1/($M$3:M206="7"),ROW($M$3:M206))),IF(COUNTIF($M$3:M206,"8")=0,10^9,LOOKUP(2,1/($M$3:M206="8"),ROW($M$3:M206))),IF(COUNTIF($M$3:M206,"9")=0,10^9,LOOKUP(2,1/($M$3:M206="9"),ROW($M$3:M206))))-ROW($M$3)+1),"")),AND(N207&lt;&gt;"",N207=IFERROR(INDEX($N$3:N206,MIN(IF(COUNTIF($N$3:N206,"鼠")=0,10^9,LOOKUP(2,1/($N$3:N206="鼠"),ROW($N$3:N206))),IF(COUNTIF($N$3:N206,"牛")=0,10^9,LOOKUP(2,1/($N$3:N206="牛"),ROW($N$3:N206))),IF(COUNTIF($N$3:N206,"虎")=0,10^9,LOOKUP(2,1/($N$3:N206="虎"),ROW($N$3:N206))),IF(COUNTIF($N$3:N206,"兔")=0,10^9,LOOKUP(2,1/($N$3:N206="兔"),ROW($N$3:N206))),IF(COUNTIF($N$3:N206,"龙")=0,10^9,LOOKUP(2,1/($N$3:N206="龙"),ROW($N$3:N206))),IF(COUNTIF($N$3:N206,"蛇")=0,10^9,LOOKUP(2,1/($N$3:N206="蛇"),ROW($N$3:N206))),IF(COUNTIF($N$3:N206,"马")=0,10^9,LOOKUP(2,1/($N$3:N206="马"),ROW($N$3:N206))),IF(COUNTIF($N$3:N206,"羊")=0,10^9,LOOKUP(2,1/($N$3:N206="羊"),ROW($N$3:N206))),IF(COUNTIF($N$3:N206,"猴")=0,10^9,LOOKUP(2,1/($N$3:N206="猴"),ROW($N$3:N206))),IF(COUNTIF($N$3:N206,"鸡")=0,10^9,LOOKUP(2,1/($N$3:N206="鸡"),ROW($N$3:N206))),IF(COUNTIF($N$3:N206,"狗")=0,10^9,LOOKUP(2,1/($N$3:N206="狗"),ROW($N$3:N206))),IF(COUNTIF($N$3:N206,"猪")=0,10^9,LOOKUP(2,1/($N$3:N206="猪"),ROW($N$3:N206))))-ROW($N$3)+1),""))),0,IF(ISNUMBER(J206),J206+1,1)))</f>
        <v/>
      </c>
      <c r="K207" s="5" t="e">
        <f t="shared" si="24"/>
        <v>#N/A</v>
      </c>
      <c r="L207" s="25"/>
      <c r="M207" s="6" t="str">
        <f t="shared" si="20"/>
        <v/>
      </c>
      <c r="N207" s="2" t="e">
        <f t="shared" si="21"/>
        <v>#N/A</v>
      </c>
      <c r="O207" s="7" t="str">
        <f>IF(M207="","",IF(COUNTIF(M208:$M$1000,M207)&gt;0,"",M207))</f>
        <v/>
      </c>
      <c r="P207" s="8" t="e">
        <f>IF(N207="","",IF(COUNTIF(N208:$N$1000,N207)&gt;0,"",N207))</f>
        <v>#N/A</v>
      </c>
      <c r="Q207" s="21" t="e">
        <f t="shared" si="22"/>
        <v>#NUM!</v>
      </c>
      <c r="R207" s="22" t="e">
        <f t="shared" si="23"/>
        <v>#NUM!</v>
      </c>
      <c r="X207" s="2"/>
      <c r="Y207" s="2"/>
    </row>
    <row r="208" s="1" customFormat="1" spans="1:25">
      <c r="A208" s="2">
        <v>115056843</v>
      </c>
      <c r="B208" s="2"/>
      <c r="C208" s="2"/>
      <c r="D208" s="2"/>
      <c r="E208" s="2"/>
      <c r="F208" s="2"/>
      <c r="G208" s="2"/>
      <c r="H208" s="3"/>
      <c r="I208" s="2" t="e">
        <f t="shared" si="19"/>
        <v>#N/A</v>
      </c>
      <c r="J208" s="4" t="str">
        <f>IF(H208="","",IF(OR(AND(M208&lt;&gt;"",M208=IFERROR(INDEX($M$3:M207,MIN(IF(COUNTIF($M$3:M207,"0")=0,10^9,LOOKUP(2,1/($M$3:M207="0"),ROW($M$3:M207))),IF(COUNTIF($M$3:M207,"1")=0,10^9,LOOKUP(2,1/($M$3:M207="1"),ROW($M$3:M207))),IF(COUNTIF($M$3:M207,"2")=0,10^9,LOOKUP(2,1/($M$3:M207="2"),ROW($M$3:M207))),IF(COUNTIF($M$3:M207,"3")=0,10^9,LOOKUP(2,1/($M$3:M207="3"),ROW($M$3:M207))),IF(COUNTIF($M$3:M207,"4")=0,10^9,LOOKUP(2,1/($M$3:M207="4"),ROW($M$3:M207))),IF(COUNTIF($M$3:M207,"5")=0,10^9,LOOKUP(2,1/($M$3:M207="5"),ROW($M$3:M207))),IF(COUNTIF($M$3:M207,"6")=0,10^9,LOOKUP(2,1/($M$3:M207="6"),ROW($M$3:M207))),IF(COUNTIF($M$3:M207,"7")=0,10^9,LOOKUP(2,1/($M$3:M207="7"),ROW($M$3:M207))),IF(COUNTIF($M$3:M207,"8")=0,10^9,LOOKUP(2,1/($M$3:M207="8"),ROW($M$3:M207))),IF(COUNTIF($M$3:M207,"9")=0,10^9,LOOKUP(2,1/($M$3:M207="9"),ROW($M$3:M207))))-ROW($M$3)+1),"")),AND(N208&lt;&gt;"",N208=IFERROR(INDEX($N$3:N207,MIN(IF(COUNTIF($N$3:N207,"鼠")=0,10^9,LOOKUP(2,1/($N$3:N207="鼠"),ROW($N$3:N207))),IF(COUNTIF($N$3:N207,"牛")=0,10^9,LOOKUP(2,1/($N$3:N207="牛"),ROW($N$3:N207))),IF(COUNTIF($N$3:N207,"虎")=0,10^9,LOOKUP(2,1/($N$3:N207="虎"),ROW($N$3:N207))),IF(COUNTIF($N$3:N207,"兔")=0,10^9,LOOKUP(2,1/($N$3:N207="兔"),ROW($N$3:N207))),IF(COUNTIF($N$3:N207,"龙")=0,10^9,LOOKUP(2,1/($N$3:N207="龙"),ROW($N$3:N207))),IF(COUNTIF($N$3:N207,"蛇")=0,10^9,LOOKUP(2,1/($N$3:N207="蛇"),ROW($N$3:N207))),IF(COUNTIF($N$3:N207,"马")=0,10^9,LOOKUP(2,1/($N$3:N207="马"),ROW($N$3:N207))),IF(COUNTIF($N$3:N207,"羊")=0,10^9,LOOKUP(2,1/($N$3:N207="羊"),ROW($N$3:N207))),IF(COUNTIF($N$3:N207,"猴")=0,10^9,LOOKUP(2,1/($N$3:N207="猴"),ROW($N$3:N207))),IF(COUNTIF($N$3:N207,"鸡")=0,10^9,LOOKUP(2,1/($N$3:N207="鸡"),ROW($N$3:N207))),IF(COUNTIF($N$3:N207,"狗")=0,10^9,LOOKUP(2,1/($N$3:N207="狗"),ROW($N$3:N207))),IF(COUNTIF($N$3:N207,"猪")=0,10^9,LOOKUP(2,1/($N$3:N207="猪"),ROW($N$3:N207))))-ROW($N$3)+1),""))),0,IF(ISNUMBER(J207),J207+1,1)))</f>
        <v/>
      </c>
      <c r="K208" s="5" t="e">
        <f t="shared" si="24"/>
        <v>#N/A</v>
      </c>
      <c r="M208" s="6" t="str">
        <f t="shared" si="20"/>
        <v/>
      </c>
      <c r="N208" s="2" t="e">
        <f t="shared" si="21"/>
        <v>#N/A</v>
      </c>
      <c r="O208" s="7" t="str">
        <f>IF(M208="","",IF(COUNTIF(M209:$M$1000,M208)&gt;0,"",M208))</f>
        <v/>
      </c>
      <c r="P208" s="8" t="e">
        <f>IF(N208="","",IF(COUNTIF(N209:$N$1000,N208)&gt;0,"",N208))</f>
        <v>#N/A</v>
      </c>
      <c r="Q208" s="21" t="e">
        <f t="shared" si="22"/>
        <v>#NUM!</v>
      </c>
      <c r="R208" s="22" t="e">
        <f t="shared" si="23"/>
        <v>#NUM!</v>
      </c>
      <c r="X208" s="2"/>
      <c r="Y208" s="2"/>
    </row>
    <row r="209" s="1" customFormat="1" spans="1:25">
      <c r="A209" s="2">
        <v>115056844</v>
      </c>
      <c r="B209" s="2"/>
      <c r="C209" s="2"/>
      <c r="D209" s="2"/>
      <c r="E209" s="2"/>
      <c r="F209" s="2"/>
      <c r="G209" s="2"/>
      <c r="H209" s="3"/>
      <c r="I209" s="2" t="e">
        <f t="shared" si="19"/>
        <v>#N/A</v>
      </c>
      <c r="J209" s="4" t="str">
        <f>IF(H209="","",IF(OR(AND(M209&lt;&gt;"",M209=IFERROR(INDEX($M$3:M208,MIN(IF(COUNTIF($M$3:M208,"0")=0,10^9,LOOKUP(2,1/($M$3:M208="0"),ROW($M$3:M208))),IF(COUNTIF($M$3:M208,"1")=0,10^9,LOOKUP(2,1/($M$3:M208="1"),ROW($M$3:M208))),IF(COUNTIF($M$3:M208,"2")=0,10^9,LOOKUP(2,1/($M$3:M208="2"),ROW($M$3:M208))),IF(COUNTIF($M$3:M208,"3")=0,10^9,LOOKUP(2,1/($M$3:M208="3"),ROW($M$3:M208))),IF(COUNTIF($M$3:M208,"4")=0,10^9,LOOKUP(2,1/($M$3:M208="4"),ROW($M$3:M208))),IF(COUNTIF($M$3:M208,"5")=0,10^9,LOOKUP(2,1/($M$3:M208="5"),ROW($M$3:M208))),IF(COUNTIF($M$3:M208,"6")=0,10^9,LOOKUP(2,1/($M$3:M208="6"),ROW($M$3:M208))),IF(COUNTIF($M$3:M208,"7")=0,10^9,LOOKUP(2,1/($M$3:M208="7"),ROW($M$3:M208))),IF(COUNTIF($M$3:M208,"8")=0,10^9,LOOKUP(2,1/($M$3:M208="8"),ROW($M$3:M208))),IF(COUNTIF($M$3:M208,"9")=0,10^9,LOOKUP(2,1/($M$3:M208="9"),ROW($M$3:M208))))-ROW($M$3)+1),"")),AND(N209&lt;&gt;"",N209=IFERROR(INDEX($N$3:N208,MIN(IF(COUNTIF($N$3:N208,"鼠")=0,10^9,LOOKUP(2,1/($N$3:N208="鼠"),ROW($N$3:N208))),IF(COUNTIF($N$3:N208,"牛")=0,10^9,LOOKUP(2,1/($N$3:N208="牛"),ROW($N$3:N208))),IF(COUNTIF($N$3:N208,"虎")=0,10^9,LOOKUP(2,1/($N$3:N208="虎"),ROW($N$3:N208))),IF(COUNTIF($N$3:N208,"兔")=0,10^9,LOOKUP(2,1/($N$3:N208="兔"),ROW($N$3:N208))),IF(COUNTIF($N$3:N208,"龙")=0,10^9,LOOKUP(2,1/($N$3:N208="龙"),ROW($N$3:N208))),IF(COUNTIF($N$3:N208,"蛇")=0,10^9,LOOKUP(2,1/($N$3:N208="蛇"),ROW($N$3:N208))),IF(COUNTIF($N$3:N208,"马")=0,10^9,LOOKUP(2,1/($N$3:N208="马"),ROW($N$3:N208))),IF(COUNTIF($N$3:N208,"羊")=0,10^9,LOOKUP(2,1/($N$3:N208="羊"),ROW($N$3:N208))),IF(COUNTIF($N$3:N208,"猴")=0,10^9,LOOKUP(2,1/($N$3:N208="猴"),ROW($N$3:N208))),IF(COUNTIF($N$3:N208,"鸡")=0,10^9,LOOKUP(2,1/($N$3:N208="鸡"),ROW($N$3:N208))),IF(COUNTIF($N$3:N208,"狗")=0,10^9,LOOKUP(2,1/($N$3:N208="狗"),ROW($N$3:N208))),IF(COUNTIF($N$3:N208,"猪")=0,10^9,LOOKUP(2,1/($N$3:N208="猪"),ROW($N$3:N208))))-ROW($N$3)+1),""))),0,IF(ISNUMBER(J208),J208+1,1)))</f>
        <v/>
      </c>
      <c r="K209" s="5" t="e">
        <f t="shared" si="24"/>
        <v>#N/A</v>
      </c>
      <c r="M209" s="6" t="str">
        <f t="shared" si="20"/>
        <v/>
      </c>
      <c r="N209" s="2" t="e">
        <f t="shared" si="21"/>
        <v>#N/A</v>
      </c>
      <c r="O209" s="7" t="str">
        <f>IF(M209="","",IF(COUNTIF(M210:$M$1000,M209)&gt;0,"",M209))</f>
        <v/>
      </c>
      <c r="P209" s="8" t="e">
        <f>IF(N209="","",IF(COUNTIF(N210:$N$1000,N209)&gt;0,"",N209))</f>
        <v>#N/A</v>
      </c>
      <c r="Q209" s="21" t="e">
        <f t="shared" si="22"/>
        <v>#NUM!</v>
      </c>
      <c r="R209" s="22" t="e">
        <f t="shared" si="23"/>
        <v>#NUM!</v>
      </c>
      <c r="X209" s="2"/>
      <c r="Y209" s="2"/>
    </row>
    <row r="210" s="1" customFormat="1" spans="1:25">
      <c r="A210" s="2">
        <v>115056845</v>
      </c>
      <c r="B210" s="2"/>
      <c r="C210" s="2"/>
      <c r="D210" s="2"/>
      <c r="E210" s="2"/>
      <c r="F210" s="2"/>
      <c r="G210" s="2"/>
      <c r="H210" s="3"/>
      <c r="I210" s="2" t="e">
        <f t="shared" si="19"/>
        <v>#N/A</v>
      </c>
      <c r="J210" s="4" t="str">
        <f>IF(H210="","",IF(OR(AND(M210&lt;&gt;"",M210=IFERROR(INDEX($M$3:M209,MIN(IF(COUNTIF($M$3:M209,"0")=0,10^9,LOOKUP(2,1/($M$3:M209="0"),ROW($M$3:M209))),IF(COUNTIF($M$3:M209,"1")=0,10^9,LOOKUP(2,1/($M$3:M209="1"),ROW($M$3:M209))),IF(COUNTIF($M$3:M209,"2")=0,10^9,LOOKUP(2,1/($M$3:M209="2"),ROW($M$3:M209))),IF(COUNTIF($M$3:M209,"3")=0,10^9,LOOKUP(2,1/($M$3:M209="3"),ROW($M$3:M209))),IF(COUNTIF($M$3:M209,"4")=0,10^9,LOOKUP(2,1/($M$3:M209="4"),ROW($M$3:M209))),IF(COUNTIF($M$3:M209,"5")=0,10^9,LOOKUP(2,1/($M$3:M209="5"),ROW($M$3:M209))),IF(COUNTIF($M$3:M209,"6")=0,10^9,LOOKUP(2,1/($M$3:M209="6"),ROW($M$3:M209))),IF(COUNTIF($M$3:M209,"7")=0,10^9,LOOKUP(2,1/($M$3:M209="7"),ROW($M$3:M209))),IF(COUNTIF($M$3:M209,"8")=0,10^9,LOOKUP(2,1/($M$3:M209="8"),ROW($M$3:M209))),IF(COUNTIF($M$3:M209,"9")=0,10^9,LOOKUP(2,1/($M$3:M209="9"),ROW($M$3:M209))))-ROW($M$3)+1),"")),AND(N210&lt;&gt;"",N210=IFERROR(INDEX($N$3:N209,MIN(IF(COUNTIF($N$3:N209,"鼠")=0,10^9,LOOKUP(2,1/($N$3:N209="鼠"),ROW($N$3:N209))),IF(COUNTIF($N$3:N209,"牛")=0,10^9,LOOKUP(2,1/($N$3:N209="牛"),ROW($N$3:N209))),IF(COUNTIF($N$3:N209,"虎")=0,10^9,LOOKUP(2,1/($N$3:N209="虎"),ROW($N$3:N209))),IF(COUNTIF($N$3:N209,"兔")=0,10^9,LOOKUP(2,1/($N$3:N209="兔"),ROW($N$3:N209))),IF(COUNTIF($N$3:N209,"龙")=0,10^9,LOOKUP(2,1/($N$3:N209="龙"),ROW($N$3:N209))),IF(COUNTIF($N$3:N209,"蛇")=0,10^9,LOOKUP(2,1/($N$3:N209="蛇"),ROW($N$3:N209))),IF(COUNTIF($N$3:N209,"马")=0,10^9,LOOKUP(2,1/($N$3:N209="马"),ROW($N$3:N209))),IF(COUNTIF($N$3:N209,"羊")=0,10^9,LOOKUP(2,1/($N$3:N209="羊"),ROW($N$3:N209))),IF(COUNTIF($N$3:N209,"猴")=0,10^9,LOOKUP(2,1/($N$3:N209="猴"),ROW($N$3:N209))),IF(COUNTIF($N$3:N209,"鸡")=0,10^9,LOOKUP(2,1/($N$3:N209="鸡"),ROW($N$3:N209))),IF(COUNTIF($N$3:N209,"狗")=0,10^9,LOOKUP(2,1/($N$3:N209="狗"),ROW($N$3:N209))),IF(COUNTIF($N$3:N209,"猪")=0,10^9,LOOKUP(2,1/($N$3:N209="猪"),ROW($N$3:N209))))-ROW($N$3)+1),""))),0,IF(ISNUMBER(J209),J209+1,1)))</f>
        <v/>
      </c>
      <c r="K210" s="5" t="e">
        <f t="shared" si="24"/>
        <v>#N/A</v>
      </c>
      <c r="M210" s="6" t="str">
        <f t="shared" si="20"/>
        <v/>
      </c>
      <c r="N210" s="2" t="e">
        <f t="shared" si="21"/>
        <v>#N/A</v>
      </c>
      <c r="O210" s="7" t="str">
        <f>IF(M210="","",IF(COUNTIF(M211:$M$1000,M210)&gt;0,"",M210))</f>
        <v/>
      </c>
      <c r="P210" s="8" t="e">
        <f>IF(N210="","",IF(COUNTIF(N211:$N$1000,N210)&gt;0,"",N210))</f>
        <v>#N/A</v>
      </c>
      <c r="Q210" s="21" t="e">
        <f t="shared" si="22"/>
        <v>#NUM!</v>
      </c>
      <c r="R210" s="22" t="e">
        <f t="shared" si="23"/>
        <v>#NUM!</v>
      </c>
      <c r="X210" s="2"/>
      <c r="Y210" s="2"/>
    </row>
    <row r="211" s="1" customFormat="1" spans="1:25">
      <c r="A211" s="2">
        <v>115056846</v>
      </c>
      <c r="B211" s="2"/>
      <c r="C211" s="2"/>
      <c r="D211" s="2"/>
      <c r="E211" s="2"/>
      <c r="F211" s="2"/>
      <c r="G211" s="2"/>
      <c r="H211" s="3"/>
      <c r="I211" s="2" t="e">
        <f t="shared" si="19"/>
        <v>#N/A</v>
      </c>
      <c r="J211" s="4" t="str">
        <f>IF(H211="","",IF(OR(AND(M211&lt;&gt;"",M211=IFERROR(INDEX($M$3:M210,MIN(IF(COUNTIF($M$3:M210,"0")=0,10^9,LOOKUP(2,1/($M$3:M210="0"),ROW($M$3:M210))),IF(COUNTIF($M$3:M210,"1")=0,10^9,LOOKUP(2,1/($M$3:M210="1"),ROW($M$3:M210))),IF(COUNTIF($M$3:M210,"2")=0,10^9,LOOKUP(2,1/($M$3:M210="2"),ROW($M$3:M210))),IF(COUNTIF($M$3:M210,"3")=0,10^9,LOOKUP(2,1/($M$3:M210="3"),ROW($M$3:M210))),IF(COUNTIF($M$3:M210,"4")=0,10^9,LOOKUP(2,1/($M$3:M210="4"),ROW($M$3:M210))),IF(COUNTIF($M$3:M210,"5")=0,10^9,LOOKUP(2,1/($M$3:M210="5"),ROW($M$3:M210))),IF(COUNTIF($M$3:M210,"6")=0,10^9,LOOKUP(2,1/($M$3:M210="6"),ROW($M$3:M210))),IF(COUNTIF($M$3:M210,"7")=0,10^9,LOOKUP(2,1/($M$3:M210="7"),ROW($M$3:M210))),IF(COUNTIF($M$3:M210,"8")=0,10^9,LOOKUP(2,1/($M$3:M210="8"),ROW($M$3:M210))),IF(COUNTIF($M$3:M210,"9")=0,10^9,LOOKUP(2,1/($M$3:M210="9"),ROW($M$3:M210))))-ROW($M$3)+1),"")),AND(N211&lt;&gt;"",N211=IFERROR(INDEX($N$3:N210,MIN(IF(COUNTIF($N$3:N210,"鼠")=0,10^9,LOOKUP(2,1/($N$3:N210="鼠"),ROW($N$3:N210))),IF(COUNTIF($N$3:N210,"牛")=0,10^9,LOOKUP(2,1/($N$3:N210="牛"),ROW($N$3:N210))),IF(COUNTIF($N$3:N210,"虎")=0,10^9,LOOKUP(2,1/($N$3:N210="虎"),ROW($N$3:N210))),IF(COUNTIF($N$3:N210,"兔")=0,10^9,LOOKUP(2,1/($N$3:N210="兔"),ROW($N$3:N210))),IF(COUNTIF($N$3:N210,"龙")=0,10^9,LOOKUP(2,1/($N$3:N210="龙"),ROW($N$3:N210))),IF(COUNTIF($N$3:N210,"蛇")=0,10^9,LOOKUP(2,1/($N$3:N210="蛇"),ROW($N$3:N210))),IF(COUNTIF($N$3:N210,"马")=0,10^9,LOOKUP(2,1/($N$3:N210="马"),ROW($N$3:N210))),IF(COUNTIF($N$3:N210,"羊")=0,10^9,LOOKUP(2,1/($N$3:N210="羊"),ROW($N$3:N210))),IF(COUNTIF($N$3:N210,"猴")=0,10^9,LOOKUP(2,1/($N$3:N210="猴"),ROW($N$3:N210))),IF(COUNTIF($N$3:N210,"鸡")=0,10^9,LOOKUP(2,1/($N$3:N210="鸡"),ROW($N$3:N210))),IF(COUNTIF($N$3:N210,"狗")=0,10^9,LOOKUP(2,1/($N$3:N210="狗"),ROW($N$3:N210))),IF(COUNTIF($N$3:N210,"猪")=0,10^9,LOOKUP(2,1/($N$3:N210="猪"),ROW($N$3:N210))))-ROW($N$3)+1),""))),0,IF(ISNUMBER(J210),J210+1,1)))</f>
        <v/>
      </c>
      <c r="K211" s="5" t="e">
        <f t="shared" si="24"/>
        <v>#N/A</v>
      </c>
      <c r="M211" s="6" t="str">
        <f t="shared" si="20"/>
        <v/>
      </c>
      <c r="N211" s="2" t="e">
        <f t="shared" si="21"/>
        <v>#N/A</v>
      </c>
      <c r="O211" s="7" t="str">
        <f>IF(M211="","",IF(COUNTIF(M212:$M$1000,M211)&gt;0,"",M211))</f>
        <v/>
      </c>
      <c r="P211" s="8" t="e">
        <f>IF(N211="","",IF(COUNTIF(N212:$N$1000,N211)&gt;0,"",N211))</f>
        <v>#N/A</v>
      </c>
      <c r="Q211" s="21" t="e">
        <f t="shared" si="22"/>
        <v>#NUM!</v>
      </c>
      <c r="R211" s="22" t="e">
        <f t="shared" si="23"/>
        <v>#NUM!</v>
      </c>
      <c r="X211" s="2"/>
      <c r="Y211" s="2"/>
    </row>
    <row r="212" s="1" customFormat="1" spans="1:25">
      <c r="A212" s="2">
        <v>115056847</v>
      </c>
      <c r="B212" s="2"/>
      <c r="C212" s="2"/>
      <c r="D212" s="2"/>
      <c r="E212" s="2"/>
      <c r="F212" s="2"/>
      <c r="G212" s="2"/>
      <c r="H212" s="3"/>
      <c r="I212" s="2" t="e">
        <f t="shared" si="19"/>
        <v>#N/A</v>
      </c>
      <c r="J212" s="4" t="str">
        <f>IF(H212="","",IF(OR(AND(M212&lt;&gt;"",M212=IFERROR(INDEX($M$3:M211,MIN(IF(COUNTIF($M$3:M211,"0")=0,10^9,LOOKUP(2,1/($M$3:M211="0"),ROW($M$3:M211))),IF(COUNTIF($M$3:M211,"1")=0,10^9,LOOKUP(2,1/($M$3:M211="1"),ROW($M$3:M211))),IF(COUNTIF($M$3:M211,"2")=0,10^9,LOOKUP(2,1/($M$3:M211="2"),ROW($M$3:M211))),IF(COUNTIF($M$3:M211,"3")=0,10^9,LOOKUP(2,1/($M$3:M211="3"),ROW($M$3:M211))),IF(COUNTIF($M$3:M211,"4")=0,10^9,LOOKUP(2,1/($M$3:M211="4"),ROW($M$3:M211))),IF(COUNTIF($M$3:M211,"5")=0,10^9,LOOKUP(2,1/($M$3:M211="5"),ROW($M$3:M211))),IF(COUNTIF($M$3:M211,"6")=0,10^9,LOOKUP(2,1/($M$3:M211="6"),ROW($M$3:M211))),IF(COUNTIF($M$3:M211,"7")=0,10^9,LOOKUP(2,1/($M$3:M211="7"),ROW($M$3:M211))),IF(COUNTIF($M$3:M211,"8")=0,10^9,LOOKUP(2,1/($M$3:M211="8"),ROW($M$3:M211))),IF(COUNTIF($M$3:M211,"9")=0,10^9,LOOKUP(2,1/($M$3:M211="9"),ROW($M$3:M211))))-ROW($M$3)+1),"")),AND(N212&lt;&gt;"",N212=IFERROR(INDEX($N$3:N211,MIN(IF(COUNTIF($N$3:N211,"鼠")=0,10^9,LOOKUP(2,1/($N$3:N211="鼠"),ROW($N$3:N211))),IF(COUNTIF($N$3:N211,"牛")=0,10^9,LOOKUP(2,1/($N$3:N211="牛"),ROW($N$3:N211))),IF(COUNTIF($N$3:N211,"虎")=0,10^9,LOOKUP(2,1/($N$3:N211="虎"),ROW($N$3:N211))),IF(COUNTIF($N$3:N211,"兔")=0,10^9,LOOKUP(2,1/($N$3:N211="兔"),ROW($N$3:N211))),IF(COUNTIF($N$3:N211,"龙")=0,10^9,LOOKUP(2,1/($N$3:N211="龙"),ROW($N$3:N211))),IF(COUNTIF($N$3:N211,"蛇")=0,10^9,LOOKUP(2,1/($N$3:N211="蛇"),ROW($N$3:N211))),IF(COUNTIF($N$3:N211,"马")=0,10^9,LOOKUP(2,1/($N$3:N211="马"),ROW($N$3:N211))),IF(COUNTIF($N$3:N211,"羊")=0,10^9,LOOKUP(2,1/($N$3:N211="羊"),ROW($N$3:N211))),IF(COUNTIF($N$3:N211,"猴")=0,10^9,LOOKUP(2,1/($N$3:N211="猴"),ROW($N$3:N211))),IF(COUNTIF($N$3:N211,"鸡")=0,10^9,LOOKUP(2,1/($N$3:N211="鸡"),ROW($N$3:N211))),IF(COUNTIF($N$3:N211,"狗")=0,10^9,LOOKUP(2,1/($N$3:N211="狗"),ROW($N$3:N211))),IF(COUNTIF($N$3:N211,"猪")=0,10^9,LOOKUP(2,1/($N$3:N211="猪"),ROW($N$3:N211))))-ROW($N$3)+1),""))),0,IF(ISNUMBER(J211),J211+1,1)))</f>
        <v/>
      </c>
      <c r="K212" s="5" t="e">
        <f t="shared" si="24"/>
        <v>#N/A</v>
      </c>
      <c r="M212" s="6" t="str">
        <f t="shared" si="20"/>
        <v/>
      </c>
      <c r="N212" s="2" t="e">
        <f t="shared" si="21"/>
        <v>#N/A</v>
      </c>
      <c r="O212" s="7" t="str">
        <f>IF(M212="","",IF(COUNTIF(M213:$M$1000,M212)&gt;0,"",M212))</f>
        <v/>
      </c>
      <c r="P212" s="8" t="e">
        <f>IF(N212="","",IF(COUNTIF(N213:$N$1000,N212)&gt;0,"",N212))</f>
        <v>#N/A</v>
      </c>
      <c r="Q212" s="21" t="e">
        <f t="shared" si="22"/>
        <v>#NUM!</v>
      </c>
      <c r="R212" s="22" t="e">
        <f t="shared" si="23"/>
        <v>#NUM!</v>
      </c>
      <c r="X212" s="2"/>
      <c r="Y212" s="2"/>
    </row>
    <row r="213" s="1" customFormat="1" spans="1:25">
      <c r="A213" s="2">
        <v>115056848</v>
      </c>
      <c r="B213" s="2"/>
      <c r="C213" s="2"/>
      <c r="D213" s="2"/>
      <c r="E213" s="2"/>
      <c r="F213" s="2"/>
      <c r="G213" s="2"/>
      <c r="H213" s="3"/>
      <c r="I213" s="2" t="e">
        <f t="shared" si="19"/>
        <v>#N/A</v>
      </c>
      <c r="J213" s="4" t="str">
        <f>IF(H213="","",IF(OR(AND(M213&lt;&gt;"",M213=IFERROR(INDEX($M$3:M212,MIN(IF(COUNTIF($M$3:M212,"0")=0,10^9,LOOKUP(2,1/($M$3:M212="0"),ROW($M$3:M212))),IF(COUNTIF($M$3:M212,"1")=0,10^9,LOOKUP(2,1/($M$3:M212="1"),ROW($M$3:M212))),IF(COUNTIF($M$3:M212,"2")=0,10^9,LOOKUP(2,1/($M$3:M212="2"),ROW($M$3:M212))),IF(COUNTIF($M$3:M212,"3")=0,10^9,LOOKUP(2,1/($M$3:M212="3"),ROW($M$3:M212))),IF(COUNTIF($M$3:M212,"4")=0,10^9,LOOKUP(2,1/($M$3:M212="4"),ROW($M$3:M212))),IF(COUNTIF($M$3:M212,"5")=0,10^9,LOOKUP(2,1/($M$3:M212="5"),ROW($M$3:M212))),IF(COUNTIF($M$3:M212,"6")=0,10^9,LOOKUP(2,1/($M$3:M212="6"),ROW($M$3:M212))),IF(COUNTIF($M$3:M212,"7")=0,10^9,LOOKUP(2,1/($M$3:M212="7"),ROW($M$3:M212))),IF(COUNTIF($M$3:M212,"8")=0,10^9,LOOKUP(2,1/($M$3:M212="8"),ROW($M$3:M212))),IF(COUNTIF($M$3:M212,"9")=0,10^9,LOOKUP(2,1/($M$3:M212="9"),ROW($M$3:M212))))-ROW($M$3)+1),"")),AND(N213&lt;&gt;"",N213=IFERROR(INDEX($N$3:N212,MIN(IF(COUNTIF($N$3:N212,"鼠")=0,10^9,LOOKUP(2,1/($N$3:N212="鼠"),ROW($N$3:N212))),IF(COUNTIF($N$3:N212,"牛")=0,10^9,LOOKUP(2,1/($N$3:N212="牛"),ROW($N$3:N212))),IF(COUNTIF($N$3:N212,"虎")=0,10^9,LOOKUP(2,1/($N$3:N212="虎"),ROW($N$3:N212))),IF(COUNTIF($N$3:N212,"兔")=0,10^9,LOOKUP(2,1/($N$3:N212="兔"),ROW($N$3:N212))),IF(COUNTIF($N$3:N212,"龙")=0,10^9,LOOKUP(2,1/($N$3:N212="龙"),ROW($N$3:N212))),IF(COUNTIF($N$3:N212,"蛇")=0,10^9,LOOKUP(2,1/($N$3:N212="蛇"),ROW($N$3:N212))),IF(COUNTIF($N$3:N212,"马")=0,10^9,LOOKUP(2,1/($N$3:N212="马"),ROW($N$3:N212))),IF(COUNTIF($N$3:N212,"羊")=0,10^9,LOOKUP(2,1/($N$3:N212="羊"),ROW($N$3:N212))),IF(COUNTIF($N$3:N212,"猴")=0,10^9,LOOKUP(2,1/($N$3:N212="猴"),ROW($N$3:N212))),IF(COUNTIF($N$3:N212,"鸡")=0,10^9,LOOKUP(2,1/($N$3:N212="鸡"),ROW($N$3:N212))),IF(COUNTIF($N$3:N212,"狗")=0,10^9,LOOKUP(2,1/($N$3:N212="狗"),ROW($N$3:N212))),IF(COUNTIF($N$3:N212,"猪")=0,10^9,LOOKUP(2,1/($N$3:N212="猪"),ROW($N$3:N212))))-ROW($N$3)+1),""))),0,IF(ISNUMBER(J212),J212+1,1)))</f>
        <v/>
      </c>
      <c r="K213" s="5" t="e">
        <f t="shared" si="24"/>
        <v>#N/A</v>
      </c>
      <c r="M213" s="6" t="str">
        <f t="shared" si="20"/>
        <v/>
      </c>
      <c r="N213" s="2" t="e">
        <f t="shared" si="21"/>
        <v>#N/A</v>
      </c>
      <c r="O213" s="7" t="str">
        <f>IF(M213="","",IF(COUNTIF(M214:$M$1000,M213)&gt;0,"",M213))</f>
        <v/>
      </c>
      <c r="P213" s="8" t="e">
        <f>IF(N213="","",IF(COUNTIF(N214:$N$1000,N213)&gt;0,"",N213))</f>
        <v>#N/A</v>
      </c>
      <c r="Q213" s="21" t="e">
        <f t="shared" si="22"/>
        <v>#NUM!</v>
      </c>
      <c r="R213" s="22" t="e">
        <f t="shared" si="23"/>
        <v>#NUM!</v>
      </c>
      <c r="X213" s="2"/>
      <c r="Y213" s="2"/>
    </row>
    <row r="214" s="1" customFormat="1" spans="1:25">
      <c r="A214" s="2">
        <v>115056849</v>
      </c>
      <c r="B214" s="2"/>
      <c r="C214" s="2"/>
      <c r="D214" s="2"/>
      <c r="E214" s="2"/>
      <c r="F214" s="2"/>
      <c r="G214" s="2"/>
      <c r="H214" s="3"/>
      <c r="I214" s="2" t="e">
        <f t="shared" si="19"/>
        <v>#N/A</v>
      </c>
      <c r="J214" s="4" t="str">
        <f>IF(H214="","",IF(OR(AND(M214&lt;&gt;"",M214=IFERROR(INDEX($M$3:M213,MIN(IF(COUNTIF($M$3:M213,"0")=0,10^9,LOOKUP(2,1/($M$3:M213="0"),ROW($M$3:M213))),IF(COUNTIF($M$3:M213,"1")=0,10^9,LOOKUP(2,1/($M$3:M213="1"),ROW($M$3:M213))),IF(COUNTIF($M$3:M213,"2")=0,10^9,LOOKUP(2,1/($M$3:M213="2"),ROW($M$3:M213))),IF(COUNTIF($M$3:M213,"3")=0,10^9,LOOKUP(2,1/($M$3:M213="3"),ROW($M$3:M213))),IF(COUNTIF($M$3:M213,"4")=0,10^9,LOOKUP(2,1/($M$3:M213="4"),ROW($M$3:M213))),IF(COUNTIF($M$3:M213,"5")=0,10^9,LOOKUP(2,1/($M$3:M213="5"),ROW($M$3:M213))),IF(COUNTIF($M$3:M213,"6")=0,10^9,LOOKUP(2,1/($M$3:M213="6"),ROW($M$3:M213))),IF(COUNTIF($M$3:M213,"7")=0,10^9,LOOKUP(2,1/($M$3:M213="7"),ROW($M$3:M213))),IF(COUNTIF($M$3:M213,"8")=0,10^9,LOOKUP(2,1/($M$3:M213="8"),ROW($M$3:M213))),IF(COUNTIF($M$3:M213,"9")=0,10^9,LOOKUP(2,1/($M$3:M213="9"),ROW($M$3:M213))))-ROW($M$3)+1),"")),AND(N214&lt;&gt;"",N214=IFERROR(INDEX($N$3:N213,MIN(IF(COUNTIF($N$3:N213,"鼠")=0,10^9,LOOKUP(2,1/($N$3:N213="鼠"),ROW($N$3:N213))),IF(COUNTIF($N$3:N213,"牛")=0,10^9,LOOKUP(2,1/($N$3:N213="牛"),ROW($N$3:N213))),IF(COUNTIF($N$3:N213,"虎")=0,10^9,LOOKUP(2,1/($N$3:N213="虎"),ROW($N$3:N213))),IF(COUNTIF($N$3:N213,"兔")=0,10^9,LOOKUP(2,1/($N$3:N213="兔"),ROW($N$3:N213))),IF(COUNTIF($N$3:N213,"龙")=0,10^9,LOOKUP(2,1/($N$3:N213="龙"),ROW($N$3:N213))),IF(COUNTIF($N$3:N213,"蛇")=0,10^9,LOOKUP(2,1/($N$3:N213="蛇"),ROW($N$3:N213))),IF(COUNTIF($N$3:N213,"马")=0,10^9,LOOKUP(2,1/($N$3:N213="马"),ROW($N$3:N213))),IF(COUNTIF($N$3:N213,"羊")=0,10^9,LOOKUP(2,1/($N$3:N213="羊"),ROW($N$3:N213))),IF(COUNTIF($N$3:N213,"猴")=0,10^9,LOOKUP(2,1/($N$3:N213="猴"),ROW($N$3:N213))),IF(COUNTIF($N$3:N213,"鸡")=0,10^9,LOOKUP(2,1/($N$3:N213="鸡"),ROW($N$3:N213))),IF(COUNTIF($N$3:N213,"狗")=0,10^9,LOOKUP(2,1/($N$3:N213="狗"),ROW($N$3:N213))),IF(COUNTIF($N$3:N213,"猪")=0,10^9,LOOKUP(2,1/($N$3:N213="猪"),ROW($N$3:N213))))-ROW($N$3)+1),""))),0,IF(ISNUMBER(J213),J213+1,1)))</f>
        <v/>
      </c>
      <c r="K214" s="5" t="e">
        <f t="shared" si="24"/>
        <v>#N/A</v>
      </c>
      <c r="M214" s="6" t="str">
        <f t="shared" si="20"/>
        <v/>
      </c>
      <c r="N214" s="2" t="e">
        <f t="shared" si="21"/>
        <v>#N/A</v>
      </c>
      <c r="O214" s="7" t="str">
        <f>IF(M214="","",IF(COUNTIF(M215:$M$1000,M214)&gt;0,"",M214))</f>
        <v/>
      </c>
      <c r="P214" s="8" t="e">
        <f>IF(N214="","",IF(COUNTIF(N215:$N$1000,N214)&gt;0,"",N214))</f>
        <v>#N/A</v>
      </c>
      <c r="Q214" s="21" t="e">
        <f t="shared" si="22"/>
        <v>#NUM!</v>
      </c>
      <c r="R214" s="22" t="e">
        <f t="shared" si="23"/>
        <v>#NUM!</v>
      </c>
      <c r="X214" s="2"/>
      <c r="Y214" s="2"/>
    </row>
    <row r="215" s="1" customFormat="1" spans="1:25">
      <c r="A215" s="2">
        <v>115056850</v>
      </c>
      <c r="B215" s="2"/>
      <c r="C215" s="2"/>
      <c r="D215" s="2"/>
      <c r="E215" s="2"/>
      <c r="F215" s="2"/>
      <c r="G215" s="2"/>
      <c r="H215" s="3"/>
      <c r="I215" s="2" t="e">
        <f t="shared" si="19"/>
        <v>#N/A</v>
      </c>
      <c r="J215" s="4" t="str">
        <f>IF(H215="","",IF(OR(AND(M215&lt;&gt;"",M215=IFERROR(INDEX($M$3:M214,MIN(IF(COUNTIF($M$3:M214,"0")=0,10^9,LOOKUP(2,1/($M$3:M214="0"),ROW($M$3:M214))),IF(COUNTIF($M$3:M214,"1")=0,10^9,LOOKUP(2,1/($M$3:M214="1"),ROW($M$3:M214))),IF(COUNTIF($M$3:M214,"2")=0,10^9,LOOKUP(2,1/($M$3:M214="2"),ROW($M$3:M214))),IF(COUNTIF($M$3:M214,"3")=0,10^9,LOOKUP(2,1/($M$3:M214="3"),ROW($M$3:M214))),IF(COUNTIF($M$3:M214,"4")=0,10^9,LOOKUP(2,1/($M$3:M214="4"),ROW($M$3:M214))),IF(COUNTIF($M$3:M214,"5")=0,10^9,LOOKUP(2,1/($M$3:M214="5"),ROW($M$3:M214))),IF(COUNTIF($M$3:M214,"6")=0,10^9,LOOKUP(2,1/($M$3:M214="6"),ROW($M$3:M214))),IF(COUNTIF($M$3:M214,"7")=0,10^9,LOOKUP(2,1/($M$3:M214="7"),ROW($M$3:M214))),IF(COUNTIF($M$3:M214,"8")=0,10^9,LOOKUP(2,1/($M$3:M214="8"),ROW($M$3:M214))),IF(COUNTIF($M$3:M214,"9")=0,10^9,LOOKUP(2,1/($M$3:M214="9"),ROW($M$3:M214))))-ROW($M$3)+1),"")),AND(N215&lt;&gt;"",N215=IFERROR(INDEX($N$3:N214,MIN(IF(COUNTIF($N$3:N214,"鼠")=0,10^9,LOOKUP(2,1/($N$3:N214="鼠"),ROW($N$3:N214))),IF(COUNTIF($N$3:N214,"牛")=0,10^9,LOOKUP(2,1/($N$3:N214="牛"),ROW($N$3:N214))),IF(COUNTIF($N$3:N214,"虎")=0,10^9,LOOKUP(2,1/($N$3:N214="虎"),ROW($N$3:N214))),IF(COUNTIF($N$3:N214,"兔")=0,10^9,LOOKUP(2,1/($N$3:N214="兔"),ROW($N$3:N214))),IF(COUNTIF($N$3:N214,"龙")=0,10^9,LOOKUP(2,1/($N$3:N214="龙"),ROW($N$3:N214))),IF(COUNTIF($N$3:N214,"蛇")=0,10^9,LOOKUP(2,1/($N$3:N214="蛇"),ROW($N$3:N214))),IF(COUNTIF($N$3:N214,"马")=0,10^9,LOOKUP(2,1/($N$3:N214="马"),ROW($N$3:N214))),IF(COUNTIF($N$3:N214,"羊")=0,10^9,LOOKUP(2,1/($N$3:N214="羊"),ROW($N$3:N214))),IF(COUNTIF($N$3:N214,"猴")=0,10^9,LOOKUP(2,1/($N$3:N214="猴"),ROW($N$3:N214))),IF(COUNTIF($N$3:N214,"鸡")=0,10^9,LOOKUP(2,1/($N$3:N214="鸡"),ROW($N$3:N214))),IF(COUNTIF($N$3:N214,"狗")=0,10^9,LOOKUP(2,1/($N$3:N214="狗"),ROW($N$3:N214))),IF(COUNTIF($N$3:N214,"猪")=0,10^9,LOOKUP(2,1/($N$3:N214="猪"),ROW($N$3:N214))))-ROW($N$3)+1),""))),0,IF(ISNUMBER(J214),J214+1,1)))</f>
        <v/>
      </c>
      <c r="K215" s="5" t="e">
        <f t="shared" si="24"/>
        <v>#N/A</v>
      </c>
      <c r="M215" s="6" t="str">
        <f t="shared" si="20"/>
        <v/>
      </c>
      <c r="N215" s="2" t="e">
        <f t="shared" si="21"/>
        <v>#N/A</v>
      </c>
      <c r="O215" s="7" t="str">
        <f>IF(M215="","",IF(COUNTIF(M216:$M$1000,M215)&gt;0,"",M215))</f>
        <v/>
      </c>
      <c r="P215" s="8" t="e">
        <f>IF(N215="","",IF(COUNTIF(N216:$N$1000,N215)&gt;0,"",N215))</f>
        <v>#N/A</v>
      </c>
      <c r="Q215" s="21" t="e">
        <f t="shared" si="22"/>
        <v>#NUM!</v>
      </c>
      <c r="R215" s="22" t="e">
        <f t="shared" si="23"/>
        <v>#NUM!</v>
      </c>
      <c r="X215" s="2"/>
      <c r="Y215" s="2"/>
    </row>
    <row r="216" s="1" customFormat="1" spans="1:25">
      <c r="A216" s="2">
        <v>115056851</v>
      </c>
      <c r="B216" s="2"/>
      <c r="C216" s="2"/>
      <c r="D216" s="2"/>
      <c r="E216" s="2"/>
      <c r="F216" s="2"/>
      <c r="G216" s="2"/>
      <c r="H216" s="3"/>
      <c r="I216" s="2" t="e">
        <f t="shared" si="19"/>
        <v>#N/A</v>
      </c>
      <c r="J216" s="4" t="str">
        <f>IF(H216="","",IF(OR(AND(M216&lt;&gt;"",M216=IFERROR(INDEX($M$3:M215,MIN(IF(COUNTIF($M$3:M215,"0")=0,10^9,LOOKUP(2,1/($M$3:M215="0"),ROW($M$3:M215))),IF(COUNTIF($M$3:M215,"1")=0,10^9,LOOKUP(2,1/($M$3:M215="1"),ROW($M$3:M215))),IF(COUNTIF($M$3:M215,"2")=0,10^9,LOOKUP(2,1/($M$3:M215="2"),ROW($M$3:M215))),IF(COUNTIF($M$3:M215,"3")=0,10^9,LOOKUP(2,1/($M$3:M215="3"),ROW($M$3:M215))),IF(COUNTIF($M$3:M215,"4")=0,10^9,LOOKUP(2,1/($M$3:M215="4"),ROW($M$3:M215))),IF(COUNTIF($M$3:M215,"5")=0,10^9,LOOKUP(2,1/($M$3:M215="5"),ROW($M$3:M215))),IF(COUNTIF($M$3:M215,"6")=0,10^9,LOOKUP(2,1/($M$3:M215="6"),ROW($M$3:M215))),IF(COUNTIF($M$3:M215,"7")=0,10^9,LOOKUP(2,1/($M$3:M215="7"),ROW($M$3:M215))),IF(COUNTIF($M$3:M215,"8")=0,10^9,LOOKUP(2,1/($M$3:M215="8"),ROW($M$3:M215))),IF(COUNTIF($M$3:M215,"9")=0,10^9,LOOKUP(2,1/($M$3:M215="9"),ROW($M$3:M215))))-ROW($M$3)+1),"")),AND(N216&lt;&gt;"",N216=IFERROR(INDEX($N$3:N215,MIN(IF(COUNTIF($N$3:N215,"鼠")=0,10^9,LOOKUP(2,1/($N$3:N215="鼠"),ROW($N$3:N215))),IF(COUNTIF($N$3:N215,"牛")=0,10^9,LOOKUP(2,1/($N$3:N215="牛"),ROW($N$3:N215))),IF(COUNTIF($N$3:N215,"虎")=0,10^9,LOOKUP(2,1/($N$3:N215="虎"),ROW($N$3:N215))),IF(COUNTIF($N$3:N215,"兔")=0,10^9,LOOKUP(2,1/($N$3:N215="兔"),ROW($N$3:N215))),IF(COUNTIF($N$3:N215,"龙")=0,10^9,LOOKUP(2,1/($N$3:N215="龙"),ROW($N$3:N215))),IF(COUNTIF($N$3:N215,"蛇")=0,10^9,LOOKUP(2,1/($N$3:N215="蛇"),ROW($N$3:N215))),IF(COUNTIF($N$3:N215,"马")=0,10^9,LOOKUP(2,1/($N$3:N215="马"),ROW($N$3:N215))),IF(COUNTIF($N$3:N215,"羊")=0,10^9,LOOKUP(2,1/($N$3:N215="羊"),ROW($N$3:N215))),IF(COUNTIF($N$3:N215,"猴")=0,10^9,LOOKUP(2,1/($N$3:N215="猴"),ROW($N$3:N215))),IF(COUNTIF($N$3:N215,"鸡")=0,10^9,LOOKUP(2,1/($N$3:N215="鸡"),ROW($N$3:N215))),IF(COUNTIF($N$3:N215,"狗")=0,10^9,LOOKUP(2,1/($N$3:N215="狗"),ROW($N$3:N215))),IF(COUNTIF($N$3:N215,"猪")=0,10^9,LOOKUP(2,1/($N$3:N215="猪"),ROW($N$3:N215))))-ROW($N$3)+1),""))),0,IF(ISNUMBER(J215),J215+1,1)))</f>
        <v/>
      </c>
      <c r="K216" s="5" t="e">
        <f t="shared" si="24"/>
        <v>#N/A</v>
      </c>
      <c r="M216" s="6" t="str">
        <f t="shared" si="20"/>
        <v/>
      </c>
      <c r="N216" s="2" t="e">
        <f t="shared" si="21"/>
        <v>#N/A</v>
      </c>
      <c r="O216" s="7" t="str">
        <f>IF(M216="","",IF(COUNTIF(M217:$M$1000,M216)&gt;0,"",M216))</f>
        <v/>
      </c>
      <c r="P216" s="8" t="e">
        <f>IF(N216="","",IF(COUNTIF(N217:$N$1000,N216)&gt;0,"",N216))</f>
        <v>#N/A</v>
      </c>
      <c r="Q216" s="21" t="e">
        <f t="shared" si="22"/>
        <v>#NUM!</v>
      </c>
      <c r="R216" s="22" t="e">
        <f t="shared" si="23"/>
        <v>#NUM!</v>
      </c>
      <c r="X216" s="2"/>
      <c r="Y216" s="2"/>
    </row>
    <row r="217" s="1" customFormat="1" spans="1:25">
      <c r="A217" s="2">
        <v>115056852</v>
      </c>
      <c r="B217" s="2"/>
      <c r="C217" s="2"/>
      <c r="D217" s="2"/>
      <c r="E217" s="2"/>
      <c r="F217" s="2"/>
      <c r="G217" s="2"/>
      <c r="H217" s="3"/>
      <c r="I217" s="2" t="e">
        <f t="shared" si="19"/>
        <v>#N/A</v>
      </c>
      <c r="J217" s="4" t="str">
        <f>IF(H217="","",IF(OR(AND(M217&lt;&gt;"",M217=IFERROR(INDEX($M$3:M216,MIN(IF(COUNTIF($M$3:M216,"0")=0,10^9,LOOKUP(2,1/($M$3:M216="0"),ROW($M$3:M216))),IF(COUNTIF($M$3:M216,"1")=0,10^9,LOOKUP(2,1/($M$3:M216="1"),ROW($M$3:M216))),IF(COUNTIF($M$3:M216,"2")=0,10^9,LOOKUP(2,1/($M$3:M216="2"),ROW($M$3:M216))),IF(COUNTIF($M$3:M216,"3")=0,10^9,LOOKUP(2,1/($M$3:M216="3"),ROW($M$3:M216))),IF(COUNTIF($M$3:M216,"4")=0,10^9,LOOKUP(2,1/($M$3:M216="4"),ROW($M$3:M216))),IF(COUNTIF($M$3:M216,"5")=0,10^9,LOOKUP(2,1/($M$3:M216="5"),ROW($M$3:M216))),IF(COUNTIF($M$3:M216,"6")=0,10^9,LOOKUP(2,1/($M$3:M216="6"),ROW($M$3:M216))),IF(COUNTIF($M$3:M216,"7")=0,10^9,LOOKUP(2,1/($M$3:M216="7"),ROW($M$3:M216))),IF(COUNTIF($M$3:M216,"8")=0,10^9,LOOKUP(2,1/($M$3:M216="8"),ROW($M$3:M216))),IF(COUNTIF($M$3:M216,"9")=0,10^9,LOOKUP(2,1/($M$3:M216="9"),ROW($M$3:M216))))-ROW($M$3)+1),"")),AND(N217&lt;&gt;"",N217=IFERROR(INDEX($N$3:N216,MIN(IF(COUNTIF($N$3:N216,"鼠")=0,10^9,LOOKUP(2,1/($N$3:N216="鼠"),ROW($N$3:N216))),IF(COUNTIF($N$3:N216,"牛")=0,10^9,LOOKUP(2,1/($N$3:N216="牛"),ROW($N$3:N216))),IF(COUNTIF($N$3:N216,"虎")=0,10^9,LOOKUP(2,1/($N$3:N216="虎"),ROW($N$3:N216))),IF(COUNTIF($N$3:N216,"兔")=0,10^9,LOOKUP(2,1/($N$3:N216="兔"),ROW($N$3:N216))),IF(COUNTIF($N$3:N216,"龙")=0,10^9,LOOKUP(2,1/($N$3:N216="龙"),ROW($N$3:N216))),IF(COUNTIF($N$3:N216,"蛇")=0,10^9,LOOKUP(2,1/($N$3:N216="蛇"),ROW($N$3:N216))),IF(COUNTIF($N$3:N216,"马")=0,10^9,LOOKUP(2,1/($N$3:N216="马"),ROW($N$3:N216))),IF(COUNTIF($N$3:N216,"羊")=0,10^9,LOOKUP(2,1/($N$3:N216="羊"),ROW($N$3:N216))),IF(COUNTIF($N$3:N216,"猴")=0,10^9,LOOKUP(2,1/($N$3:N216="猴"),ROW($N$3:N216))),IF(COUNTIF($N$3:N216,"鸡")=0,10^9,LOOKUP(2,1/($N$3:N216="鸡"),ROW($N$3:N216))),IF(COUNTIF($N$3:N216,"狗")=0,10^9,LOOKUP(2,1/($N$3:N216="狗"),ROW($N$3:N216))),IF(COUNTIF($N$3:N216,"猪")=0,10^9,LOOKUP(2,1/($N$3:N216="猪"),ROW($N$3:N216))))-ROW($N$3)+1),""))),0,IF(ISNUMBER(J216),J216+1,1)))</f>
        <v/>
      </c>
      <c r="K217" s="5" t="e">
        <f t="shared" si="24"/>
        <v>#N/A</v>
      </c>
      <c r="M217" s="6" t="str">
        <f t="shared" si="20"/>
        <v/>
      </c>
      <c r="N217" s="2" t="e">
        <f t="shared" si="21"/>
        <v>#N/A</v>
      </c>
      <c r="O217" s="7" t="str">
        <f>IF(M217="","",IF(COUNTIF(M218:$M$1000,M217)&gt;0,"",M217))</f>
        <v/>
      </c>
      <c r="P217" s="8" t="e">
        <f>IF(N217="","",IF(COUNTIF(N218:$N$1000,N217)&gt;0,"",N217))</f>
        <v>#N/A</v>
      </c>
      <c r="Q217" s="21" t="e">
        <f t="shared" si="22"/>
        <v>#NUM!</v>
      </c>
      <c r="R217" s="22" t="e">
        <f t="shared" si="23"/>
        <v>#NUM!</v>
      </c>
      <c r="X217" s="2"/>
      <c r="Y217" s="2"/>
    </row>
    <row r="218" s="1" customFormat="1" spans="1:25">
      <c r="A218" s="2">
        <v>115056853</v>
      </c>
      <c r="B218" s="2"/>
      <c r="C218" s="2"/>
      <c r="D218" s="2"/>
      <c r="E218" s="2"/>
      <c r="F218" s="2"/>
      <c r="G218" s="2"/>
      <c r="H218" s="3"/>
      <c r="I218" s="2" t="e">
        <f t="shared" si="19"/>
        <v>#N/A</v>
      </c>
      <c r="J218" s="4" t="str">
        <f>IF(H218="","",IF(OR(AND(M218&lt;&gt;"",M218=IFERROR(INDEX($M$3:M217,MIN(IF(COUNTIF($M$3:M217,"0")=0,10^9,LOOKUP(2,1/($M$3:M217="0"),ROW($M$3:M217))),IF(COUNTIF($M$3:M217,"1")=0,10^9,LOOKUP(2,1/($M$3:M217="1"),ROW($M$3:M217))),IF(COUNTIF($M$3:M217,"2")=0,10^9,LOOKUP(2,1/($M$3:M217="2"),ROW($M$3:M217))),IF(COUNTIF($M$3:M217,"3")=0,10^9,LOOKUP(2,1/($M$3:M217="3"),ROW($M$3:M217))),IF(COUNTIF($M$3:M217,"4")=0,10^9,LOOKUP(2,1/($M$3:M217="4"),ROW($M$3:M217))),IF(COUNTIF($M$3:M217,"5")=0,10^9,LOOKUP(2,1/($M$3:M217="5"),ROW($M$3:M217))),IF(COUNTIF($M$3:M217,"6")=0,10^9,LOOKUP(2,1/($M$3:M217="6"),ROW($M$3:M217))),IF(COUNTIF($M$3:M217,"7")=0,10^9,LOOKUP(2,1/($M$3:M217="7"),ROW($M$3:M217))),IF(COUNTIF($M$3:M217,"8")=0,10^9,LOOKUP(2,1/($M$3:M217="8"),ROW($M$3:M217))),IF(COUNTIF($M$3:M217,"9")=0,10^9,LOOKUP(2,1/($M$3:M217="9"),ROW($M$3:M217))))-ROW($M$3)+1),"")),AND(N218&lt;&gt;"",N218=IFERROR(INDEX($N$3:N217,MIN(IF(COUNTIF($N$3:N217,"鼠")=0,10^9,LOOKUP(2,1/($N$3:N217="鼠"),ROW($N$3:N217))),IF(COUNTIF($N$3:N217,"牛")=0,10^9,LOOKUP(2,1/($N$3:N217="牛"),ROW($N$3:N217))),IF(COUNTIF($N$3:N217,"虎")=0,10^9,LOOKUP(2,1/($N$3:N217="虎"),ROW($N$3:N217))),IF(COUNTIF($N$3:N217,"兔")=0,10^9,LOOKUP(2,1/($N$3:N217="兔"),ROW($N$3:N217))),IF(COUNTIF($N$3:N217,"龙")=0,10^9,LOOKUP(2,1/($N$3:N217="龙"),ROW($N$3:N217))),IF(COUNTIF($N$3:N217,"蛇")=0,10^9,LOOKUP(2,1/($N$3:N217="蛇"),ROW($N$3:N217))),IF(COUNTIF($N$3:N217,"马")=0,10^9,LOOKUP(2,1/($N$3:N217="马"),ROW($N$3:N217))),IF(COUNTIF($N$3:N217,"羊")=0,10^9,LOOKUP(2,1/($N$3:N217="羊"),ROW($N$3:N217))),IF(COUNTIF($N$3:N217,"猴")=0,10^9,LOOKUP(2,1/($N$3:N217="猴"),ROW($N$3:N217))),IF(COUNTIF($N$3:N217,"鸡")=0,10^9,LOOKUP(2,1/($N$3:N217="鸡"),ROW($N$3:N217))),IF(COUNTIF($N$3:N217,"狗")=0,10^9,LOOKUP(2,1/($N$3:N217="狗"),ROW($N$3:N217))),IF(COUNTIF($N$3:N217,"猪")=0,10^9,LOOKUP(2,1/($N$3:N217="猪"),ROW($N$3:N217))))-ROW($N$3)+1),""))),0,IF(ISNUMBER(J217),J217+1,1)))</f>
        <v/>
      </c>
      <c r="K218" s="5" t="e">
        <f t="shared" si="24"/>
        <v>#N/A</v>
      </c>
      <c r="M218" s="6" t="str">
        <f t="shared" si="20"/>
        <v/>
      </c>
      <c r="N218" s="2" t="e">
        <f t="shared" si="21"/>
        <v>#N/A</v>
      </c>
      <c r="O218" s="7" t="str">
        <f>IF(M218="","",IF(COUNTIF(M219:$M$1000,M218)&gt;0,"",M218))</f>
        <v/>
      </c>
      <c r="P218" s="8" t="e">
        <f>IF(N218="","",IF(COUNTIF(N219:$N$1000,N218)&gt;0,"",N218))</f>
        <v>#N/A</v>
      </c>
      <c r="Q218" s="21" t="e">
        <f t="shared" si="22"/>
        <v>#NUM!</v>
      </c>
      <c r="R218" s="22" t="e">
        <f t="shared" si="23"/>
        <v>#NUM!</v>
      </c>
      <c r="X218" s="2"/>
      <c r="Y218" s="2"/>
    </row>
    <row r="219" s="1" customFormat="1" spans="1:25">
      <c r="A219" s="2">
        <v>115056854</v>
      </c>
      <c r="B219" s="2"/>
      <c r="C219" s="2"/>
      <c r="D219" s="2"/>
      <c r="E219" s="2"/>
      <c r="F219" s="2"/>
      <c r="G219" s="2"/>
      <c r="H219" s="3"/>
      <c r="I219" s="2" t="e">
        <f t="shared" si="19"/>
        <v>#N/A</v>
      </c>
      <c r="J219" s="4" t="str">
        <f>IF(H219="","",IF(OR(AND(M219&lt;&gt;"",M219=IFERROR(INDEX($M$3:M218,MIN(IF(COUNTIF($M$3:M218,"0")=0,10^9,LOOKUP(2,1/($M$3:M218="0"),ROW($M$3:M218))),IF(COUNTIF($M$3:M218,"1")=0,10^9,LOOKUP(2,1/($M$3:M218="1"),ROW($M$3:M218))),IF(COUNTIF($M$3:M218,"2")=0,10^9,LOOKUP(2,1/($M$3:M218="2"),ROW($M$3:M218))),IF(COUNTIF($M$3:M218,"3")=0,10^9,LOOKUP(2,1/($M$3:M218="3"),ROW($M$3:M218))),IF(COUNTIF($M$3:M218,"4")=0,10^9,LOOKUP(2,1/($M$3:M218="4"),ROW($M$3:M218))),IF(COUNTIF($M$3:M218,"5")=0,10^9,LOOKUP(2,1/($M$3:M218="5"),ROW($M$3:M218))),IF(COUNTIF($M$3:M218,"6")=0,10^9,LOOKUP(2,1/($M$3:M218="6"),ROW($M$3:M218))),IF(COUNTIF($M$3:M218,"7")=0,10^9,LOOKUP(2,1/($M$3:M218="7"),ROW($M$3:M218))),IF(COUNTIF($M$3:M218,"8")=0,10^9,LOOKUP(2,1/($M$3:M218="8"),ROW($M$3:M218))),IF(COUNTIF($M$3:M218,"9")=0,10^9,LOOKUP(2,1/($M$3:M218="9"),ROW($M$3:M218))))-ROW($M$3)+1),"")),AND(N219&lt;&gt;"",N219=IFERROR(INDEX($N$3:N218,MIN(IF(COUNTIF($N$3:N218,"鼠")=0,10^9,LOOKUP(2,1/($N$3:N218="鼠"),ROW($N$3:N218))),IF(COUNTIF($N$3:N218,"牛")=0,10^9,LOOKUP(2,1/($N$3:N218="牛"),ROW($N$3:N218))),IF(COUNTIF($N$3:N218,"虎")=0,10^9,LOOKUP(2,1/($N$3:N218="虎"),ROW($N$3:N218))),IF(COUNTIF($N$3:N218,"兔")=0,10^9,LOOKUP(2,1/($N$3:N218="兔"),ROW($N$3:N218))),IF(COUNTIF($N$3:N218,"龙")=0,10^9,LOOKUP(2,1/($N$3:N218="龙"),ROW($N$3:N218))),IF(COUNTIF($N$3:N218,"蛇")=0,10^9,LOOKUP(2,1/($N$3:N218="蛇"),ROW($N$3:N218))),IF(COUNTIF($N$3:N218,"马")=0,10^9,LOOKUP(2,1/($N$3:N218="马"),ROW($N$3:N218))),IF(COUNTIF($N$3:N218,"羊")=0,10^9,LOOKUP(2,1/($N$3:N218="羊"),ROW($N$3:N218))),IF(COUNTIF($N$3:N218,"猴")=0,10^9,LOOKUP(2,1/($N$3:N218="猴"),ROW($N$3:N218))),IF(COUNTIF($N$3:N218,"鸡")=0,10^9,LOOKUP(2,1/($N$3:N218="鸡"),ROW($N$3:N218))),IF(COUNTIF($N$3:N218,"狗")=0,10^9,LOOKUP(2,1/($N$3:N218="狗"),ROW($N$3:N218))),IF(COUNTIF($N$3:N218,"猪")=0,10^9,LOOKUP(2,1/($N$3:N218="猪"),ROW($N$3:N218))))-ROW($N$3)+1),""))),0,IF(ISNUMBER(J218),J218+1,1)))</f>
        <v/>
      </c>
      <c r="K219" s="5" t="e">
        <f t="shared" si="24"/>
        <v>#N/A</v>
      </c>
      <c r="M219" s="6" t="str">
        <f t="shared" si="20"/>
        <v/>
      </c>
      <c r="N219" s="2" t="e">
        <f t="shared" si="21"/>
        <v>#N/A</v>
      </c>
      <c r="O219" s="7" t="str">
        <f>IF(M219="","",IF(COUNTIF(M220:$M$1000,M219)&gt;0,"",M219))</f>
        <v/>
      </c>
      <c r="P219" s="8" t="e">
        <f>IF(N219="","",IF(COUNTIF(N220:$N$1000,N219)&gt;0,"",N219))</f>
        <v>#N/A</v>
      </c>
      <c r="Q219" s="21" t="e">
        <f t="shared" si="22"/>
        <v>#NUM!</v>
      </c>
      <c r="R219" s="22" t="e">
        <f t="shared" si="23"/>
        <v>#NUM!</v>
      </c>
      <c r="X219" s="2"/>
      <c r="Y219" s="2"/>
    </row>
    <row r="220" s="1" customFormat="1" spans="1:25">
      <c r="A220" s="2">
        <v>115056855</v>
      </c>
      <c r="B220" s="2"/>
      <c r="C220" s="2"/>
      <c r="D220" s="2"/>
      <c r="E220" s="2"/>
      <c r="F220" s="2"/>
      <c r="G220" s="2"/>
      <c r="H220" s="3"/>
      <c r="I220" s="2" t="e">
        <f t="shared" si="19"/>
        <v>#N/A</v>
      </c>
      <c r="J220" s="4" t="str">
        <f>IF(H220="","",IF(OR(AND(M220&lt;&gt;"",M220=IFERROR(INDEX($M$3:M219,MIN(IF(COUNTIF($M$3:M219,"0")=0,10^9,LOOKUP(2,1/($M$3:M219="0"),ROW($M$3:M219))),IF(COUNTIF($M$3:M219,"1")=0,10^9,LOOKUP(2,1/($M$3:M219="1"),ROW($M$3:M219))),IF(COUNTIF($M$3:M219,"2")=0,10^9,LOOKUP(2,1/($M$3:M219="2"),ROW($M$3:M219))),IF(COUNTIF($M$3:M219,"3")=0,10^9,LOOKUP(2,1/($M$3:M219="3"),ROW($M$3:M219))),IF(COUNTIF($M$3:M219,"4")=0,10^9,LOOKUP(2,1/($M$3:M219="4"),ROW($M$3:M219))),IF(COUNTIF($M$3:M219,"5")=0,10^9,LOOKUP(2,1/($M$3:M219="5"),ROW($M$3:M219))),IF(COUNTIF($M$3:M219,"6")=0,10^9,LOOKUP(2,1/($M$3:M219="6"),ROW($M$3:M219))),IF(COUNTIF($M$3:M219,"7")=0,10^9,LOOKUP(2,1/($M$3:M219="7"),ROW($M$3:M219))),IF(COUNTIF($M$3:M219,"8")=0,10^9,LOOKUP(2,1/($M$3:M219="8"),ROW($M$3:M219))),IF(COUNTIF($M$3:M219,"9")=0,10^9,LOOKUP(2,1/($M$3:M219="9"),ROW($M$3:M219))))-ROW($M$3)+1),"")),AND(N220&lt;&gt;"",N220=IFERROR(INDEX($N$3:N219,MIN(IF(COUNTIF($N$3:N219,"鼠")=0,10^9,LOOKUP(2,1/($N$3:N219="鼠"),ROW($N$3:N219))),IF(COUNTIF($N$3:N219,"牛")=0,10^9,LOOKUP(2,1/($N$3:N219="牛"),ROW($N$3:N219))),IF(COUNTIF($N$3:N219,"虎")=0,10^9,LOOKUP(2,1/($N$3:N219="虎"),ROW($N$3:N219))),IF(COUNTIF($N$3:N219,"兔")=0,10^9,LOOKUP(2,1/($N$3:N219="兔"),ROW($N$3:N219))),IF(COUNTIF($N$3:N219,"龙")=0,10^9,LOOKUP(2,1/($N$3:N219="龙"),ROW($N$3:N219))),IF(COUNTIF($N$3:N219,"蛇")=0,10^9,LOOKUP(2,1/($N$3:N219="蛇"),ROW($N$3:N219))),IF(COUNTIF($N$3:N219,"马")=0,10^9,LOOKUP(2,1/($N$3:N219="马"),ROW($N$3:N219))),IF(COUNTIF($N$3:N219,"羊")=0,10^9,LOOKUP(2,1/($N$3:N219="羊"),ROW($N$3:N219))),IF(COUNTIF($N$3:N219,"猴")=0,10^9,LOOKUP(2,1/($N$3:N219="猴"),ROW($N$3:N219))),IF(COUNTIF($N$3:N219,"鸡")=0,10^9,LOOKUP(2,1/($N$3:N219="鸡"),ROW($N$3:N219))),IF(COUNTIF($N$3:N219,"狗")=0,10^9,LOOKUP(2,1/($N$3:N219="狗"),ROW($N$3:N219))),IF(COUNTIF($N$3:N219,"猪")=0,10^9,LOOKUP(2,1/($N$3:N219="猪"),ROW($N$3:N219))))-ROW($N$3)+1),""))),0,IF(ISNUMBER(J219),J219+1,1)))</f>
        <v/>
      </c>
      <c r="K220" s="5" t="e">
        <f t="shared" si="24"/>
        <v>#N/A</v>
      </c>
      <c r="M220" s="6" t="str">
        <f t="shared" si="20"/>
        <v/>
      </c>
      <c r="N220" s="2" t="e">
        <f t="shared" si="21"/>
        <v>#N/A</v>
      </c>
      <c r="O220" s="7" t="str">
        <f>IF(M220="","",IF(COUNTIF(M221:$M$1000,M220)&gt;0,"",M220))</f>
        <v/>
      </c>
      <c r="P220" s="8" t="e">
        <f>IF(N220="","",IF(COUNTIF(N221:$N$1000,N220)&gt;0,"",N220))</f>
        <v>#N/A</v>
      </c>
      <c r="Q220" s="21" t="e">
        <f t="shared" si="22"/>
        <v>#NUM!</v>
      </c>
      <c r="R220" s="22" t="e">
        <f t="shared" si="23"/>
        <v>#NUM!</v>
      </c>
      <c r="X220" s="2"/>
      <c r="Y220" s="2"/>
    </row>
    <row r="221" s="1" customFormat="1" spans="1:25">
      <c r="A221" s="2">
        <v>115056856</v>
      </c>
      <c r="B221" s="2"/>
      <c r="C221" s="2"/>
      <c r="D221" s="2"/>
      <c r="E221" s="2"/>
      <c r="F221" s="2"/>
      <c r="G221" s="2"/>
      <c r="H221" s="3"/>
      <c r="I221" s="2" t="e">
        <f t="shared" si="19"/>
        <v>#N/A</v>
      </c>
      <c r="J221" s="4" t="str">
        <f>IF(H221="","",IF(OR(AND(M221&lt;&gt;"",M221=IFERROR(INDEX($M$3:M220,MIN(IF(COUNTIF($M$3:M220,"0")=0,10^9,LOOKUP(2,1/($M$3:M220="0"),ROW($M$3:M220))),IF(COUNTIF($M$3:M220,"1")=0,10^9,LOOKUP(2,1/($M$3:M220="1"),ROW($M$3:M220))),IF(COUNTIF($M$3:M220,"2")=0,10^9,LOOKUP(2,1/($M$3:M220="2"),ROW($M$3:M220))),IF(COUNTIF($M$3:M220,"3")=0,10^9,LOOKUP(2,1/($M$3:M220="3"),ROW($M$3:M220))),IF(COUNTIF($M$3:M220,"4")=0,10^9,LOOKUP(2,1/($M$3:M220="4"),ROW($M$3:M220))),IF(COUNTIF($M$3:M220,"5")=0,10^9,LOOKUP(2,1/($M$3:M220="5"),ROW($M$3:M220))),IF(COUNTIF($M$3:M220,"6")=0,10^9,LOOKUP(2,1/($M$3:M220="6"),ROW($M$3:M220))),IF(COUNTIF($M$3:M220,"7")=0,10^9,LOOKUP(2,1/($M$3:M220="7"),ROW($M$3:M220))),IF(COUNTIF($M$3:M220,"8")=0,10^9,LOOKUP(2,1/($M$3:M220="8"),ROW($M$3:M220))),IF(COUNTIF($M$3:M220,"9")=0,10^9,LOOKUP(2,1/($M$3:M220="9"),ROW($M$3:M220))))-ROW($M$3)+1),"")),AND(N221&lt;&gt;"",N221=IFERROR(INDEX($N$3:N220,MIN(IF(COUNTIF($N$3:N220,"鼠")=0,10^9,LOOKUP(2,1/($N$3:N220="鼠"),ROW($N$3:N220))),IF(COUNTIF($N$3:N220,"牛")=0,10^9,LOOKUP(2,1/($N$3:N220="牛"),ROW($N$3:N220))),IF(COUNTIF($N$3:N220,"虎")=0,10^9,LOOKUP(2,1/($N$3:N220="虎"),ROW($N$3:N220))),IF(COUNTIF($N$3:N220,"兔")=0,10^9,LOOKUP(2,1/($N$3:N220="兔"),ROW($N$3:N220))),IF(COUNTIF($N$3:N220,"龙")=0,10^9,LOOKUP(2,1/($N$3:N220="龙"),ROW($N$3:N220))),IF(COUNTIF($N$3:N220,"蛇")=0,10^9,LOOKUP(2,1/($N$3:N220="蛇"),ROW($N$3:N220))),IF(COUNTIF($N$3:N220,"马")=0,10^9,LOOKUP(2,1/($N$3:N220="马"),ROW($N$3:N220))),IF(COUNTIF($N$3:N220,"羊")=0,10^9,LOOKUP(2,1/($N$3:N220="羊"),ROW($N$3:N220))),IF(COUNTIF($N$3:N220,"猴")=0,10^9,LOOKUP(2,1/($N$3:N220="猴"),ROW($N$3:N220))),IF(COUNTIF($N$3:N220,"鸡")=0,10^9,LOOKUP(2,1/($N$3:N220="鸡"),ROW($N$3:N220))),IF(COUNTIF($N$3:N220,"狗")=0,10^9,LOOKUP(2,1/($N$3:N220="狗"),ROW($N$3:N220))),IF(COUNTIF($N$3:N220,"猪")=0,10^9,LOOKUP(2,1/($N$3:N220="猪"),ROW($N$3:N220))))-ROW($N$3)+1),""))),0,IF(ISNUMBER(J220),J220+1,1)))</f>
        <v/>
      </c>
      <c r="K221" s="5" t="e">
        <f t="shared" si="24"/>
        <v>#N/A</v>
      </c>
      <c r="M221" s="6" t="str">
        <f t="shared" si="20"/>
        <v/>
      </c>
      <c r="N221" s="2" t="e">
        <f t="shared" si="21"/>
        <v>#N/A</v>
      </c>
      <c r="O221" s="7" t="str">
        <f>IF(M221="","",IF(COUNTIF(M222:$M$1000,M221)&gt;0,"",M221))</f>
        <v/>
      </c>
      <c r="P221" s="8" t="e">
        <f>IF(N221="","",IF(COUNTIF(N222:$N$1000,N221)&gt;0,"",N221))</f>
        <v>#N/A</v>
      </c>
      <c r="Q221" s="21" t="e">
        <f t="shared" si="22"/>
        <v>#NUM!</v>
      </c>
      <c r="R221" s="22" t="e">
        <f t="shared" si="23"/>
        <v>#NUM!</v>
      </c>
      <c r="X221" s="2"/>
      <c r="Y221" s="2"/>
    </row>
    <row r="222" s="1" customFormat="1" spans="1:25">
      <c r="A222" s="2">
        <v>115056857</v>
      </c>
      <c r="B222" s="2"/>
      <c r="C222" s="2"/>
      <c r="D222" s="2"/>
      <c r="E222" s="2"/>
      <c r="F222" s="2"/>
      <c r="G222" s="2"/>
      <c r="H222" s="3"/>
      <c r="I222" s="2" t="e">
        <f t="shared" si="19"/>
        <v>#N/A</v>
      </c>
      <c r="J222" s="4" t="str">
        <f>IF(H222="","",IF(OR(AND(M222&lt;&gt;"",M222=IFERROR(INDEX($M$3:M221,MIN(IF(COUNTIF($M$3:M221,"0")=0,10^9,LOOKUP(2,1/($M$3:M221="0"),ROW($M$3:M221))),IF(COUNTIF($M$3:M221,"1")=0,10^9,LOOKUP(2,1/($M$3:M221="1"),ROW($M$3:M221))),IF(COUNTIF($M$3:M221,"2")=0,10^9,LOOKUP(2,1/($M$3:M221="2"),ROW($M$3:M221))),IF(COUNTIF($M$3:M221,"3")=0,10^9,LOOKUP(2,1/($M$3:M221="3"),ROW($M$3:M221))),IF(COUNTIF($M$3:M221,"4")=0,10^9,LOOKUP(2,1/($M$3:M221="4"),ROW($M$3:M221))),IF(COUNTIF($M$3:M221,"5")=0,10^9,LOOKUP(2,1/($M$3:M221="5"),ROW($M$3:M221))),IF(COUNTIF($M$3:M221,"6")=0,10^9,LOOKUP(2,1/($M$3:M221="6"),ROW($M$3:M221))),IF(COUNTIF($M$3:M221,"7")=0,10^9,LOOKUP(2,1/($M$3:M221="7"),ROW($M$3:M221))),IF(COUNTIF($M$3:M221,"8")=0,10^9,LOOKUP(2,1/($M$3:M221="8"),ROW($M$3:M221))),IF(COUNTIF($M$3:M221,"9")=0,10^9,LOOKUP(2,1/($M$3:M221="9"),ROW($M$3:M221))))-ROW($M$3)+1),"")),AND(N222&lt;&gt;"",N222=IFERROR(INDEX($N$3:N221,MIN(IF(COUNTIF($N$3:N221,"鼠")=0,10^9,LOOKUP(2,1/($N$3:N221="鼠"),ROW($N$3:N221))),IF(COUNTIF($N$3:N221,"牛")=0,10^9,LOOKUP(2,1/($N$3:N221="牛"),ROW($N$3:N221))),IF(COUNTIF($N$3:N221,"虎")=0,10^9,LOOKUP(2,1/($N$3:N221="虎"),ROW($N$3:N221))),IF(COUNTIF($N$3:N221,"兔")=0,10^9,LOOKUP(2,1/($N$3:N221="兔"),ROW($N$3:N221))),IF(COUNTIF($N$3:N221,"龙")=0,10^9,LOOKUP(2,1/($N$3:N221="龙"),ROW($N$3:N221))),IF(COUNTIF($N$3:N221,"蛇")=0,10^9,LOOKUP(2,1/($N$3:N221="蛇"),ROW($N$3:N221))),IF(COUNTIF($N$3:N221,"马")=0,10^9,LOOKUP(2,1/($N$3:N221="马"),ROW($N$3:N221))),IF(COUNTIF($N$3:N221,"羊")=0,10^9,LOOKUP(2,1/($N$3:N221="羊"),ROW($N$3:N221))),IF(COUNTIF($N$3:N221,"猴")=0,10^9,LOOKUP(2,1/($N$3:N221="猴"),ROW($N$3:N221))),IF(COUNTIF($N$3:N221,"鸡")=0,10^9,LOOKUP(2,1/($N$3:N221="鸡"),ROW($N$3:N221))),IF(COUNTIF($N$3:N221,"狗")=0,10^9,LOOKUP(2,1/($N$3:N221="狗"),ROW($N$3:N221))),IF(COUNTIF($N$3:N221,"猪")=0,10^9,LOOKUP(2,1/($N$3:N221="猪"),ROW($N$3:N221))))-ROW($N$3)+1),""))),0,IF(ISNUMBER(J221),J221+1,1)))</f>
        <v/>
      </c>
      <c r="K222" s="5" t="e">
        <f t="shared" si="24"/>
        <v>#N/A</v>
      </c>
      <c r="M222" s="6" t="str">
        <f t="shared" si="20"/>
        <v/>
      </c>
      <c r="N222" s="2" t="e">
        <f t="shared" si="21"/>
        <v>#N/A</v>
      </c>
      <c r="O222" s="7" t="str">
        <f>IF(M222="","",IF(COUNTIF(M223:$M$1000,M222)&gt;0,"",M222))</f>
        <v/>
      </c>
      <c r="P222" s="8" t="e">
        <f>IF(N222="","",IF(COUNTIF(N223:$N$1000,N222)&gt;0,"",N222))</f>
        <v>#N/A</v>
      </c>
      <c r="Q222" s="21" t="e">
        <f t="shared" si="22"/>
        <v>#NUM!</v>
      </c>
      <c r="R222" s="22" t="e">
        <f t="shared" si="23"/>
        <v>#NUM!</v>
      </c>
      <c r="X222" s="2"/>
      <c r="Y222" s="2"/>
    </row>
    <row r="223" s="1" customFormat="1" spans="1:25">
      <c r="A223" s="2">
        <v>115056858</v>
      </c>
      <c r="B223" s="2"/>
      <c r="C223" s="2"/>
      <c r="D223" s="2"/>
      <c r="E223" s="2"/>
      <c r="F223" s="2"/>
      <c r="G223" s="2"/>
      <c r="H223" s="3"/>
      <c r="I223" s="2" t="e">
        <f t="shared" si="19"/>
        <v>#N/A</v>
      </c>
      <c r="J223" s="4" t="str">
        <f>IF(H223="","",IF(OR(AND(M223&lt;&gt;"",M223=IFERROR(INDEX($M$3:M222,MIN(IF(COUNTIF($M$3:M222,"0")=0,10^9,LOOKUP(2,1/($M$3:M222="0"),ROW($M$3:M222))),IF(COUNTIF($M$3:M222,"1")=0,10^9,LOOKUP(2,1/($M$3:M222="1"),ROW($M$3:M222))),IF(COUNTIF($M$3:M222,"2")=0,10^9,LOOKUP(2,1/($M$3:M222="2"),ROW($M$3:M222))),IF(COUNTIF($M$3:M222,"3")=0,10^9,LOOKUP(2,1/($M$3:M222="3"),ROW($M$3:M222))),IF(COUNTIF($M$3:M222,"4")=0,10^9,LOOKUP(2,1/($M$3:M222="4"),ROW($M$3:M222))),IF(COUNTIF($M$3:M222,"5")=0,10^9,LOOKUP(2,1/($M$3:M222="5"),ROW($M$3:M222))),IF(COUNTIF($M$3:M222,"6")=0,10^9,LOOKUP(2,1/($M$3:M222="6"),ROW($M$3:M222))),IF(COUNTIF($M$3:M222,"7")=0,10^9,LOOKUP(2,1/($M$3:M222="7"),ROW($M$3:M222))),IF(COUNTIF($M$3:M222,"8")=0,10^9,LOOKUP(2,1/($M$3:M222="8"),ROW($M$3:M222))),IF(COUNTIF($M$3:M222,"9")=0,10^9,LOOKUP(2,1/($M$3:M222="9"),ROW($M$3:M222))))-ROW($M$3)+1),"")),AND(N223&lt;&gt;"",N223=IFERROR(INDEX($N$3:N222,MIN(IF(COUNTIF($N$3:N222,"鼠")=0,10^9,LOOKUP(2,1/($N$3:N222="鼠"),ROW($N$3:N222))),IF(COUNTIF($N$3:N222,"牛")=0,10^9,LOOKUP(2,1/($N$3:N222="牛"),ROW($N$3:N222))),IF(COUNTIF($N$3:N222,"虎")=0,10^9,LOOKUP(2,1/($N$3:N222="虎"),ROW($N$3:N222))),IF(COUNTIF($N$3:N222,"兔")=0,10^9,LOOKUP(2,1/($N$3:N222="兔"),ROW($N$3:N222))),IF(COUNTIF($N$3:N222,"龙")=0,10^9,LOOKUP(2,1/($N$3:N222="龙"),ROW($N$3:N222))),IF(COUNTIF($N$3:N222,"蛇")=0,10^9,LOOKUP(2,1/($N$3:N222="蛇"),ROW($N$3:N222))),IF(COUNTIF($N$3:N222,"马")=0,10^9,LOOKUP(2,1/($N$3:N222="马"),ROW($N$3:N222))),IF(COUNTIF($N$3:N222,"羊")=0,10^9,LOOKUP(2,1/($N$3:N222="羊"),ROW($N$3:N222))),IF(COUNTIF($N$3:N222,"猴")=0,10^9,LOOKUP(2,1/($N$3:N222="猴"),ROW($N$3:N222))),IF(COUNTIF($N$3:N222,"鸡")=0,10^9,LOOKUP(2,1/($N$3:N222="鸡"),ROW($N$3:N222))),IF(COUNTIF($N$3:N222,"狗")=0,10^9,LOOKUP(2,1/($N$3:N222="狗"),ROW($N$3:N222))),IF(COUNTIF($N$3:N222,"猪")=0,10^9,LOOKUP(2,1/($N$3:N222="猪"),ROW($N$3:N222))))-ROW($N$3)+1),""))),0,IF(ISNUMBER(J222),J222+1,1)))</f>
        <v/>
      </c>
      <c r="K223" s="5" t="e">
        <f t="shared" si="24"/>
        <v>#N/A</v>
      </c>
      <c r="M223" s="6" t="str">
        <f t="shared" si="20"/>
        <v/>
      </c>
      <c r="N223" s="2" t="e">
        <f t="shared" si="21"/>
        <v>#N/A</v>
      </c>
      <c r="O223" s="7" t="str">
        <f>IF(M223="","",IF(COUNTIF(M224:$M$1000,M223)&gt;0,"",M223))</f>
        <v/>
      </c>
      <c r="P223" s="8" t="e">
        <f>IF(N223="","",IF(COUNTIF(N224:$N$1000,N223)&gt;0,"",N223))</f>
        <v>#N/A</v>
      </c>
      <c r="Q223" s="21" t="e">
        <f t="shared" si="22"/>
        <v>#NUM!</v>
      </c>
      <c r="R223" s="22" t="e">
        <f t="shared" si="23"/>
        <v>#NUM!</v>
      </c>
      <c r="X223" s="2"/>
      <c r="Y223" s="2"/>
    </row>
    <row r="224" s="1" customFormat="1" spans="1:25">
      <c r="A224" s="2">
        <v>115056859</v>
      </c>
      <c r="B224" s="2"/>
      <c r="C224" s="2"/>
      <c r="D224" s="2"/>
      <c r="E224" s="2"/>
      <c r="F224" s="2"/>
      <c r="G224" s="2"/>
      <c r="H224" s="3"/>
      <c r="I224" s="2" t="e">
        <f t="shared" si="19"/>
        <v>#N/A</v>
      </c>
      <c r="J224" s="4" t="str">
        <f>IF(H224="","",IF(OR(AND(M224&lt;&gt;"",M224=IFERROR(INDEX($M$3:M223,MIN(IF(COUNTIF($M$3:M223,"0")=0,10^9,LOOKUP(2,1/($M$3:M223="0"),ROW($M$3:M223))),IF(COUNTIF($M$3:M223,"1")=0,10^9,LOOKUP(2,1/($M$3:M223="1"),ROW($M$3:M223))),IF(COUNTIF($M$3:M223,"2")=0,10^9,LOOKUP(2,1/($M$3:M223="2"),ROW($M$3:M223))),IF(COUNTIF($M$3:M223,"3")=0,10^9,LOOKUP(2,1/($M$3:M223="3"),ROW($M$3:M223))),IF(COUNTIF($M$3:M223,"4")=0,10^9,LOOKUP(2,1/($M$3:M223="4"),ROW($M$3:M223))),IF(COUNTIF($M$3:M223,"5")=0,10^9,LOOKUP(2,1/($M$3:M223="5"),ROW($M$3:M223))),IF(COUNTIF($M$3:M223,"6")=0,10^9,LOOKUP(2,1/($M$3:M223="6"),ROW($M$3:M223))),IF(COUNTIF($M$3:M223,"7")=0,10^9,LOOKUP(2,1/($M$3:M223="7"),ROW($M$3:M223))),IF(COUNTIF($M$3:M223,"8")=0,10^9,LOOKUP(2,1/($M$3:M223="8"),ROW($M$3:M223))),IF(COUNTIF($M$3:M223,"9")=0,10^9,LOOKUP(2,1/($M$3:M223="9"),ROW($M$3:M223))))-ROW($M$3)+1),"")),AND(N224&lt;&gt;"",N224=IFERROR(INDEX($N$3:N223,MIN(IF(COUNTIF($N$3:N223,"鼠")=0,10^9,LOOKUP(2,1/($N$3:N223="鼠"),ROW($N$3:N223))),IF(COUNTIF($N$3:N223,"牛")=0,10^9,LOOKUP(2,1/($N$3:N223="牛"),ROW($N$3:N223))),IF(COUNTIF($N$3:N223,"虎")=0,10^9,LOOKUP(2,1/($N$3:N223="虎"),ROW($N$3:N223))),IF(COUNTIF($N$3:N223,"兔")=0,10^9,LOOKUP(2,1/($N$3:N223="兔"),ROW($N$3:N223))),IF(COUNTIF($N$3:N223,"龙")=0,10^9,LOOKUP(2,1/($N$3:N223="龙"),ROW($N$3:N223))),IF(COUNTIF($N$3:N223,"蛇")=0,10^9,LOOKUP(2,1/($N$3:N223="蛇"),ROW($N$3:N223))),IF(COUNTIF($N$3:N223,"马")=0,10^9,LOOKUP(2,1/($N$3:N223="马"),ROW($N$3:N223))),IF(COUNTIF($N$3:N223,"羊")=0,10^9,LOOKUP(2,1/($N$3:N223="羊"),ROW($N$3:N223))),IF(COUNTIF($N$3:N223,"猴")=0,10^9,LOOKUP(2,1/($N$3:N223="猴"),ROW($N$3:N223))),IF(COUNTIF($N$3:N223,"鸡")=0,10^9,LOOKUP(2,1/($N$3:N223="鸡"),ROW($N$3:N223))),IF(COUNTIF($N$3:N223,"狗")=0,10^9,LOOKUP(2,1/($N$3:N223="狗"),ROW($N$3:N223))),IF(COUNTIF($N$3:N223,"猪")=0,10^9,LOOKUP(2,1/($N$3:N223="猪"),ROW($N$3:N223))))-ROW($N$3)+1),""))),0,IF(ISNUMBER(J223),J223+1,1)))</f>
        <v/>
      </c>
      <c r="K224" s="5" t="e">
        <f t="shared" si="24"/>
        <v>#N/A</v>
      </c>
      <c r="M224" s="6" t="str">
        <f t="shared" si="20"/>
        <v/>
      </c>
      <c r="N224" s="2" t="e">
        <f t="shared" si="21"/>
        <v>#N/A</v>
      </c>
      <c r="O224" s="7" t="str">
        <f>IF(M224="","",IF(COUNTIF(M225:$M$1000,M224)&gt;0,"",M224))</f>
        <v/>
      </c>
      <c r="P224" s="8" t="e">
        <f>IF(N224="","",IF(COUNTIF(N225:$N$1000,N224)&gt;0,"",N224))</f>
        <v>#N/A</v>
      </c>
      <c r="Q224" s="21" t="e">
        <f t="shared" si="22"/>
        <v>#NUM!</v>
      </c>
      <c r="R224" s="22" t="e">
        <f t="shared" si="23"/>
        <v>#NUM!</v>
      </c>
      <c r="X224" s="2"/>
      <c r="Y224" s="2"/>
    </row>
    <row r="225" s="1" customFormat="1" spans="1:25">
      <c r="A225" s="2">
        <v>115056860</v>
      </c>
      <c r="B225" s="2"/>
      <c r="C225" s="2"/>
      <c r="D225" s="2"/>
      <c r="E225" s="2"/>
      <c r="F225" s="2"/>
      <c r="G225" s="2"/>
      <c r="H225" s="3"/>
      <c r="I225" s="2" t="e">
        <f t="shared" si="19"/>
        <v>#N/A</v>
      </c>
      <c r="J225" s="4" t="str">
        <f>IF(H225="","",IF(OR(AND(M225&lt;&gt;"",M225=IFERROR(INDEX($M$3:M224,MIN(IF(COUNTIF($M$3:M224,"0")=0,10^9,LOOKUP(2,1/($M$3:M224="0"),ROW($M$3:M224))),IF(COUNTIF($M$3:M224,"1")=0,10^9,LOOKUP(2,1/($M$3:M224="1"),ROW($M$3:M224))),IF(COUNTIF($M$3:M224,"2")=0,10^9,LOOKUP(2,1/($M$3:M224="2"),ROW($M$3:M224))),IF(COUNTIF($M$3:M224,"3")=0,10^9,LOOKUP(2,1/($M$3:M224="3"),ROW($M$3:M224))),IF(COUNTIF($M$3:M224,"4")=0,10^9,LOOKUP(2,1/($M$3:M224="4"),ROW($M$3:M224))),IF(COUNTIF($M$3:M224,"5")=0,10^9,LOOKUP(2,1/($M$3:M224="5"),ROW($M$3:M224))),IF(COUNTIF($M$3:M224,"6")=0,10^9,LOOKUP(2,1/($M$3:M224="6"),ROW($M$3:M224))),IF(COUNTIF($M$3:M224,"7")=0,10^9,LOOKUP(2,1/($M$3:M224="7"),ROW($M$3:M224))),IF(COUNTIF($M$3:M224,"8")=0,10^9,LOOKUP(2,1/($M$3:M224="8"),ROW($M$3:M224))),IF(COUNTIF($M$3:M224,"9")=0,10^9,LOOKUP(2,1/($M$3:M224="9"),ROW($M$3:M224))))-ROW($M$3)+1),"")),AND(N225&lt;&gt;"",N225=IFERROR(INDEX($N$3:N224,MIN(IF(COUNTIF($N$3:N224,"鼠")=0,10^9,LOOKUP(2,1/($N$3:N224="鼠"),ROW($N$3:N224))),IF(COUNTIF($N$3:N224,"牛")=0,10^9,LOOKUP(2,1/($N$3:N224="牛"),ROW($N$3:N224))),IF(COUNTIF($N$3:N224,"虎")=0,10^9,LOOKUP(2,1/($N$3:N224="虎"),ROW($N$3:N224))),IF(COUNTIF($N$3:N224,"兔")=0,10^9,LOOKUP(2,1/($N$3:N224="兔"),ROW($N$3:N224))),IF(COUNTIF($N$3:N224,"龙")=0,10^9,LOOKUP(2,1/($N$3:N224="龙"),ROW($N$3:N224))),IF(COUNTIF($N$3:N224,"蛇")=0,10^9,LOOKUP(2,1/($N$3:N224="蛇"),ROW($N$3:N224))),IF(COUNTIF($N$3:N224,"马")=0,10^9,LOOKUP(2,1/($N$3:N224="马"),ROW($N$3:N224))),IF(COUNTIF($N$3:N224,"羊")=0,10^9,LOOKUP(2,1/($N$3:N224="羊"),ROW($N$3:N224))),IF(COUNTIF($N$3:N224,"猴")=0,10^9,LOOKUP(2,1/($N$3:N224="猴"),ROW($N$3:N224))),IF(COUNTIF($N$3:N224,"鸡")=0,10^9,LOOKUP(2,1/($N$3:N224="鸡"),ROW($N$3:N224))),IF(COUNTIF($N$3:N224,"狗")=0,10^9,LOOKUP(2,1/($N$3:N224="狗"),ROW($N$3:N224))),IF(COUNTIF($N$3:N224,"猪")=0,10^9,LOOKUP(2,1/($N$3:N224="猪"),ROW($N$3:N224))))-ROW($N$3)+1),""))),0,IF(ISNUMBER(J224),J224+1,1)))</f>
        <v/>
      </c>
      <c r="K225" s="5" t="e">
        <f t="shared" si="24"/>
        <v>#N/A</v>
      </c>
      <c r="M225" s="6" t="str">
        <f t="shared" si="20"/>
        <v/>
      </c>
      <c r="N225" s="2" t="e">
        <f t="shared" si="21"/>
        <v>#N/A</v>
      </c>
      <c r="O225" s="7" t="str">
        <f>IF(M225="","",IF(COUNTIF(M226:$M$1000,M225)&gt;0,"",M225))</f>
        <v/>
      </c>
      <c r="P225" s="8" t="e">
        <f>IF(N225="","",IF(COUNTIF(N226:$N$1000,N225)&gt;0,"",N225))</f>
        <v>#N/A</v>
      </c>
      <c r="Q225" s="21" t="e">
        <f t="shared" si="22"/>
        <v>#NUM!</v>
      </c>
      <c r="R225" s="22" t="e">
        <f t="shared" si="23"/>
        <v>#NUM!</v>
      </c>
      <c r="X225" s="2"/>
      <c r="Y225" s="2"/>
    </row>
    <row r="226" s="1" customFormat="1" spans="1:25">
      <c r="A226" s="2">
        <v>115056861</v>
      </c>
      <c r="B226" s="2"/>
      <c r="C226" s="2"/>
      <c r="D226" s="2"/>
      <c r="E226" s="2"/>
      <c r="F226" s="2"/>
      <c r="G226" s="2"/>
      <c r="H226" s="3"/>
      <c r="I226" s="2" t="e">
        <f t="shared" si="19"/>
        <v>#N/A</v>
      </c>
      <c r="J226" s="4" t="str">
        <f>IF(H226="","",IF(OR(AND(M226&lt;&gt;"",M226=IFERROR(INDEX($M$3:M225,MIN(IF(COUNTIF($M$3:M225,"0")=0,10^9,LOOKUP(2,1/($M$3:M225="0"),ROW($M$3:M225))),IF(COUNTIF($M$3:M225,"1")=0,10^9,LOOKUP(2,1/($M$3:M225="1"),ROW($M$3:M225))),IF(COUNTIF($M$3:M225,"2")=0,10^9,LOOKUP(2,1/($M$3:M225="2"),ROW($M$3:M225))),IF(COUNTIF($M$3:M225,"3")=0,10^9,LOOKUP(2,1/($M$3:M225="3"),ROW($M$3:M225))),IF(COUNTIF($M$3:M225,"4")=0,10^9,LOOKUP(2,1/($M$3:M225="4"),ROW($M$3:M225))),IF(COUNTIF($M$3:M225,"5")=0,10^9,LOOKUP(2,1/($M$3:M225="5"),ROW($M$3:M225))),IF(COUNTIF($M$3:M225,"6")=0,10^9,LOOKUP(2,1/($M$3:M225="6"),ROW($M$3:M225))),IF(COUNTIF($M$3:M225,"7")=0,10^9,LOOKUP(2,1/($M$3:M225="7"),ROW($M$3:M225))),IF(COUNTIF($M$3:M225,"8")=0,10^9,LOOKUP(2,1/($M$3:M225="8"),ROW($M$3:M225))),IF(COUNTIF($M$3:M225,"9")=0,10^9,LOOKUP(2,1/($M$3:M225="9"),ROW($M$3:M225))))-ROW($M$3)+1),"")),AND(N226&lt;&gt;"",N226=IFERROR(INDEX($N$3:N225,MIN(IF(COUNTIF($N$3:N225,"鼠")=0,10^9,LOOKUP(2,1/($N$3:N225="鼠"),ROW($N$3:N225))),IF(COUNTIF($N$3:N225,"牛")=0,10^9,LOOKUP(2,1/($N$3:N225="牛"),ROW($N$3:N225))),IF(COUNTIF($N$3:N225,"虎")=0,10^9,LOOKUP(2,1/($N$3:N225="虎"),ROW($N$3:N225))),IF(COUNTIF($N$3:N225,"兔")=0,10^9,LOOKUP(2,1/($N$3:N225="兔"),ROW($N$3:N225))),IF(COUNTIF($N$3:N225,"龙")=0,10^9,LOOKUP(2,1/($N$3:N225="龙"),ROW($N$3:N225))),IF(COUNTIF($N$3:N225,"蛇")=0,10^9,LOOKUP(2,1/($N$3:N225="蛇"),ROW($N$3:N225))),IF(COUNTIF($N$3:N225,"马")=0,10^9,LOOKUP(2,1/($N$3:N225="马"),ROW($N$3:N225))),IF(COUNTIF($N$3:N225,"羊")=0,10^9,LOOKUP(2,1/($N$3:N225="羊"),ROW($N$3:N225))),IF(COUNTIF($N$3:N225,"猴")=0,10^9,LOOKUP(2,1/($N$3:N225="猴"),ROW($N$3:N225))),IF(COUNTIF($N$3:N225,"鸡")=0,10^9,LOOKUP(2,1/($N$3:N225="鸡"),ROW($N$3:N225))),IF(COUNTIF($N$3:N225,"狗")=0,10^9,LOOKUP(2,1/($N$3:N225="狗"),ROW($N$3:N225))),IF(COUNTIF($N$3:N225,"猪")=0,10^9,LOOKUP(2,1/($N$3:N225="猪"),ROW($N$3:N225))))-ROW($N$3)+1),""))),0,IF(ISNUMBER(J225),J225+1,1)))</f>
        <v/>
      </c>
      <c r="K226" s="5" t="e">
        <f t="shared" si="24"/>
        <v>#N/A</v>
      </c>
      <c r="M226" s="6" t="str">
        <f t="shared" si="20"/>
        <v/>
      </c>
      <c r="N226" s="2" t="e">
        <f t="shared" si="21"/>
        <v>#N/A</v>
      </c>
      <c r="O226" s="7" t="str">
        <f>IF(M226="","",IF(COUNTIF(M227:$M$1000,M226)&gt;0,"",M226))</f>
        <v/>
      </c>
      <c r="P226" s="8" t="e">
        <f>IF(N226="","",IF(COUNTIF(N227:$N$1000,N226)&gt;0,"",N226))</f>
        <v>#N/A</v>
      </c>
      <c r="Q226" s="21" t="e">
        <f t="shared" si="22"/>
        <v>#NUM!</v>
      </c>
      <c r="R226" s="22" t="e">
        <f t="shared" si="23"/>
        <v>#NUM!</v>
      </c>
      <c r="X226" s="2"/>
      <c r="Y226" s="2"/>
    </row>
    <row r="227" s="1" customFormat="1" spans="1:25">
      <c r="A227" s="2">
        <v>115056862</v>
      </c>
      <c r="B227" s="2"/>
      <c r="C227" s="2"/>
      <c r="D227" s="2"/>
      <c r="E227" s="2"/>
      <c r="F227" s="2"/>
      <c r="G227" s="2"/>
      <c r="H227" s="3"/>
      <c r="I227" s="2" t="e">
        <f t="shared" si="19"/>
        <v>#N/A</v>
      </c>
      <c r="J227" s="4" t="str">
        <f>IF(H227="","",IF(OR(AND(M227&lt;&gt;"",M227=IFERROR(INDEX($M$3:M226,MIN(IF(COUNTIF($M$3:M226,"0")=0,10^9,LOOKUP(2,1/($M$3:M226="0"),ROW($M$3:M226))),IF(COUNTIF($M$3:M226,"1")=0,10^9,LOOKUP(2,1/($M$3:M226="1"),ROW($M$3:M226))),IF(COUNTIF($M$3:M226,"2")=0,10^9,LOOKUP(2,1/($M$3:M226="2"),ROW($M$3:M226))),IF(COUNTIF($M$3:M226,"3")=0,10^9,LOOKUP(2,1/($M$3:M226="3"),ROW($M$3:M226))),IF(COUNTIF($M$3:M226,"4")=0,10^9,LOOKUP(2,1/($M$3:M226="4"),ROW($M$3:M226))),IF(COUNTIF($M$3:M226,"5")=0,10^9,LOOKUP(2,1/($M$3:M226="5"),ROW($M$3:M226))),IF(COUNTIF($M$3:M226,"6")=0,10^9,LOOKUP(2,1/($M$3:M226="6"),ROW($M$3:M226))),IF(COUNTIF($M$3:M226,"7")=0,10^9,LOOKUP(2,1/($M$3:M226="7"),ROW($M$3:M226))),IF(COUNTIF($M$3:M226,"8")=0,10^9,LOOKUP(2,1/($M$3:M226="8"),ROW($M$3:M226))),IF(COUNTIF($M$3:M226,"9")=0,10^9,LOOKUP(2,1/($M$3:M226="9"),ROW($M$3:M226))))-ROW($M$3)+1),"")),AND(N227&lt;&gt;"",N227=IFERROR(INDEX($N$3:N226,MIN(IF(COUNTIF($N$3:N226,"鼠")=0,10^9,LOOKUP(2,1/($N$3:N226="鼠"),ROW($N$3:N226))),IF(COUNTIF($N$3:N226,"牛")=0,10^9,LOOKUP(2,1/($N$3:N226="牛"),ROW($N$3:N226))),IF(COUNTIF($N$3:N226,"虎")=0,10^9,LOOKUP(2,1/($N$3:N226="虎"),ROW($N$3:N226))),IF(COUNTIF($N$3:N226,"兔")=0,10^9,LOOKUP(2,1/($N$3:N226="兔"),ROW($N$3:N226))),IF(COUNTIF($N$3:N226,"龙")=0,10^9,LOOKUP(2,1/($N$3:N226="龙"),ROW($N$3:N226))),IF(COUNTIF($N$3:N226,"蛇")=0,10^9,LOOKUP(2,1/($N$3:N226="蛇"),ROW($N$3:N226))),IF(COUNTIF($N$3:N226,"马")=0,10^9,LOOKUP(2,1/($N$3:N226="马"),ROW($N$3:N226))),IF(COUNTIF($N$3:N226,"羊")=0,10^9,LOOKUP(2,1/($N$3:N226="羊"),ROW($N$3:N226))),IF(COUNTIF($N$3:N226,"猴")=0,10^9,LOOKUP(2,1/($N$3:N226="猴"),ROW($N$3:N226))),IF(COUNTIF($N$3:N226,"鸡")=0,10^9,LOOKUP(2,1/($N$3:N226="鸡"),ROW($N$3:N226))),IF(COUNTIF($N$3:N226,"狗")=0,10^9,LOOKUP(2,1/($N$3:N226="狗"),ROW($N$3:N226))),IF(COUNTIF($N$3:N226,"猪")=0,10^9,LOOKUP(2,1/($N$3:N226="猪"),ROW($N$3:N226))))-ROW($N$3)+1),""))),0,IF(ISNUMBER(J226),J226+1,1)))</f>
        <v/>
      </c>
      <c r="K227" s="5" t="e">
        <f t="shared" si="24"/>
        <v>#N/A</v>
      </c>
      <c r="M227" s="6" t="str">
        <f t="shared" si="20"/>
        <v/>
      </c>
      <c r="N227" s="2" t="e">
        <f t="shared" si="21"/>
        <v>#N/A</v>
      </c>
      <c r="O227" s="7" t="str">
        <f>IF(M227="","",IF(COUNTIF(M228:$M$1000,M227)&gt;0,"",M227))</f>
        <v/>
      </c>
      <c r="P227" s="8" t="e">
        <f>IF(N227="","",IF(COUNTIF(N228:$N$1000,N227)&gt;0,"",N227))</f>
        <v>#N/A</v>
      </c>
      <c r="Q227" s="21" t="e">
        <f t="shared" si="22"/>
        <v>#NUM!</v>
      </c>
      <c r="R227" s="22" t="e">
        <f t="shared" si="23"/>
        <v>#NUM!</v>
      </c>
      <c r="X227" s="2"/>
      <c r="Y227" s="2"/>
    </row>
    <row r="228" s="1" customFormat="1" spans="1:25">
      <c r="A228" s="2">
        <v>115056863</v>
      </c>
      <c r="B228" s="2"/>
      <c r="C228" s="2"/>
      <c r="D228" s="2"/>
      <c r="E228" s="2"/>
      <c r="F228" s="2"/>
      <c r="G228" s="2"/>
      <c r="H228" s="3"/>
      <c r="I228" s="2" t="e">
        <f t="shared" si="19"/>
        <v>#N/A</v>
      </c>
      <c r="J228" s="4" t="str">
        <f>IF(H228="","",IF(OR(AND(M228&lt;&gt;"",M228=IFERROR(INDEX($M$3:M227,MIN(IF(COUNTIF($M$3:M227,"0")=0,10^9,LOOKUP(2,1/($M$3:M227="0"),ROW($M$3:M227))),IF(COUNTIF($M$3:M227,"1")=0,10^9,LOOKUP(2,1/($M$3:M227="1"),ROW($M$3:M227))),IF(COUNTIF($M$3:M227,"2")=0,10^9,LOOKUP(2,1/($M$3:M227="2"),ROW($M$3:M227))),IF(COUNTIF($M$3:M227,"3")=0,10^9,LOOKUP(2,1/($M$3:M227="3"),ROW($M$3:M227))),IF(COUNTIF($M$3:M227,"4")=0,10^9,LOOKUP(2,1/($M$3:M227="4"),ROW($M$3:M227))),IF(COUNTIF($M$3:M227,"5")=0,10^9,LOOKUP(2,1/($M$3:M227="5"),ROW($M$3:M227))),IF(COUNTIF($M$3:M227,"6")=0,10^9,LOOKUP(2,1/($M$3:M227="6"),ROW($M$3:M227))),IF(COUNTIF($M$3:M227,"7")=0,10^9,LOOKUP(2,1/($M$3:M227="7"),ROW($M$3:M227))),IF(COUNTIF($M$3:M227,"8")=0,10^9,LOOKUP(2,1/($M$3:M227="8"),ROW($M$3:M227))),IF(COUNTIF($M$3:M227,"9")=0,10^9,LOOKUP(2,1/($M$3:M227="9"),ROW($M$3:M227))))-ROW($M$3)+1),"")),AND(N228&lt;&gt;"",N228=IFERROR(INDEX($N$3:N227,MIN(IF(COUNTIF($N$3:N227,"鼠")=0,10^9,LOOKUP(2,1/($N$3:N227="鼠"),ROW($N$3:N227))),IF(COUNTIF($N$3:N227,"牛")=0,10^9,LOOKUP(2,1/($N$3:N227="牛"),ROW($N$3:N227))),IF(COUNTIF($N$3:N227,"虎")=0,10^9,LOOKUP(2,1/($N$3:N227="虎"),ROW($N$3:N227))),IF(COUNTIF($N$3:N227,"兔")=0,10^9,LOOKUP(2,1/($N$3:N227="兔"),ROW($N$3:N227))),IF(COUNTIF($N$3:N227,"龙")=0,10^9,LOOKUP(2,1/($N$3:N227="龙"),ROW($N$3:N227))),IF(COUNTIF($N$3:N227,"蛇")=0,10^9,LOOKUP(2,1/($N$3:N227="蛇"),ROW($N$3:N227))),IF(COUNTIF($N$3:N227,"马")=0,10^9,LOOKUP(2,1/($N$3:N227="马"),ROW($N$3:N227))),IF(COUNTIF($N$3:N227,"羊")=0,10^9,LOOKUP(2,1/($N$3:N227="羊"),ROW($N$3:N227))),IF(COUNTIF($N$3:N227,"猴")=0,10^9,LOOKUP(2,1/($N$3:N227="猴"),ROW($N$3:N227))),IF(COUNTIF($N$3:N227,"鸡")=0,10^9,LOOKUP(2,1/($N$3:N227="鸡"),ROW($N$3:N227))),IF(COUNTIF($N$3:N227,"狗")=0,10^9,LOOKUP(2,1/($N$3:N227="狗"),ROW($N$3:N227))),IF(COUNTIF($N$3:N227,"猪")=0,10^9,LOOKUP(2,1/($N$3:N227="猪"),ROW($N$3:N227))))-ROW($N$3)+1),""))),0,IF(ISNUMBER(J227),J227+1,1)))</f>
        <v/>
      </c>
      <c r="K228" s="5" t="e">
        <f t="shared" si="24"/>
        <v>#N/A</v>
      </c>
      <c r="M228" s="6" t="str">
        <f t="shared" si="20"/>
        <v/>
      </c>
      <c r="N228" s="2" t="e">
        <f t="shared" si="21"/>
        <v>#N/A</v>
      </c>
      <c r="O228" s="7" t="str">
        <f>IF(M228="","",IF(COUNTIF(M229:$M$1000,M228)&gt;0,"",M228))</f>
        <v/>
      </c>
      <c r="P228" s="8" t="e">
        <f>IF(N228="","",IF(COUNTIF(N229:$N$1000,N228)&gt;0,"",N228))</f>
        <v>#N/A</v>
      </c>
      <c r="Q228" s="21" t="e">
        <f t="shared" si="22"/>
        <v>#NUM!</v>
      </c>
      <c r="R228" s="22" t="e">
        <f t="shared" si="23"/>
        <v>#NUM!</v>
      </c>
      <c r="X228" s="2"/>
      <c r="Y228" s="2"/>
    </row>
    <row r="229" s="1" customFormat="1" spans="1:25">
      <c r="A229" s="2">
        <v>115056864</v>
      </c>
      <c r="B229" s="2"/>
      <c r="C229" s="2"/>
      <c r="D229" s="2"/>
      <c r="E229" s="2"/>
      <c r="F229" s="2"/>
      <c r="G229" s="2"/>
      <c r="H229" s="3"/>
      <c r="I229" s="2" t="e">
        <f t="shared" si="19"/>
        <v>#N/A</v>
      </c>
      <c r="J229" s="4" t="str">
        <f>IF(H229="","",IF(OR(AND(M229&lt;&gt;"",M229=IFERROR(INDEX($M$3:M228,MIN(IF(COUNTIF($M$3:M228,"0")=0,10^9,LOOKUP(2,1/($M$3:M228="0"),ROW($M$3:M228))),IF(COUNTIF($M$3:M228,"1")=0,10^9,LOOKUP(2,1/($M$3:M228="1"),ROW($M$3:M228))),IF(COUNTIF($M$3:M228,"2")=0,10^9,LOOKUP(2,1/($M$3:M228="2"),ROW($M$3:M228))),IF(COUNTIF($M$3:M228,"3")=0,10^9,LOOKUP(2,1/($M$3:M228="3"),ROW($M$3:M228))),IF(COUNTIF($M$3:M228,"4")=0,10^9,LOOKUP(2,1/($M$3:M228="4"),ROW($M$3:M228))),IF(COUNTIF($M$3:M228,"5")=0,10^9,LOOKUP(2,1/($M$3:M228="5"),ROW($M$3:M228))),IF(COUNTIF($M$3:M228,"6")=0,10^9,LOOKUP(2,1/($M$3:M228="6"),ROW($M$3:M228))),IF(COUNTIF($M$3:M228,"7")=0,10^9,LOOKUP(2,1/($M$3:M228="7"),ROW($M$3:M228))),IF(COUNTIF($M$3:M228,"8")=0,10^9,LOOKUP(2,1/($M$3:M228="8"),ROW($M$3:M228))),IF(COUNTIF($M$3:M228,"9")=0,10^9,LOOKUP(2,1/($M$3:M228="9"),ROW($M$3:M228))))-ROW($M$3)+1),"")),AND(N229&lt;&gt;"",N229=IFERROR(INDEX($N$3:N228,MIN(IF(COUNTIF($N$3:N228,"鼠")=0,10^9,LOOKUP(2,1/($N$3:N228="鼠"),ROW($N$3:N228))),IF(COUNTIF($N$3:N228,"牛")=0,10^9,LOOKUP(2,1/($N$3:N228="牛"),ROW($N$3:N228))),IF(COUNTIF($N$3:N228,"虎")=0,10^9,LOOKUP(2,1/($N$3:N228="虎"),ROW($N$3:N228))),IF(COUNTIF($N$3:N228,"兔")=0,10^9,LOOKUP(2,1/($N$3:N228="兔"),ROW($N$3:N228))),IF(COUNTIF($N$3:N228,"龙")=0,10^9,LOOKUP(2,1/($N$3:N228="龙"),ROW($N$3:N228))),IF(COUNTIF($N$3:N228,"蛇")=0,10^9,LOOKUP(2,1/($N$3:N228="蛇"),ROW($N$3:N228))),IF(COUNTIF($N$3:N228,"马")=0,10^9,LOOKUP(2,1/($N$3:N228="马"),ROW($N$3:N228))),IF(COUNTIF($N$3:N228,"羊")=0,10^9,LOOKUP(2,1/($N$3:N228="羊"),ROW($N$3:N228))),IF(COUNTIF($N$3:N228,"猴")=0,10^9,LOOKUP(2,1/($N$3:N228="猴"),ROW($N$3:N228))),IF(COUNTIF($N$3:N228,"鸡")=0,10^9,LOOKUP(2,1/($N$3:N228="鸡"),ROW($N$3:N228))),IF(COUNTIF($N$3:N228,"狗")=0,10^9,LOOKUP(2,1/($N$3:N228="狗"),ROW($N$3:N228))),IF(COUNTIF($N$3:N228,"猪")=0,10^9,LOOKUP(2,1/($N$3:N228="猪"),ROW($N$3:N228))))-ROW($N$3)+1),""))),0,IF(ISNUMBER(J228),J228+1,1)))</f>
        <v/>
      </c>
      <c r="K229" s="5" t="e">
        <f t="shared" si="24"/>
        <v>#N/A</v>
      </c>
      <c r="M229" s="6" t="str">
        <f t="shared" si="20"/>
        <v/>
      </c>
      <c r="N229" s="2" t="e">
        <f t="shared" si="21"/>
        <v>#N/A</v>
      </c>
      <c r="O229" s="7" t="str">
        <f>IF(M229="","",IF(COUNTIF(M230:$M$1000,M229)&gt;0,"",M229))</f>
        <v/>
      </c>
      <c r="P229" s="8" t="e">
        <f>IF(N229="","",IF(COUNTIF(N230:$N$1000,N229)&gt;0,"",N229))</f>
        <v>#N/A</v>
      </c>
      <c r="Q229" s="21" t="e">
        <f t="shared" si="22"/>
        <v>#NUM!</v>
      </c>
      <c r="R229" s="22" t="e">
        <f t="shared" si="23"/>
        <v>#NUM!</v>
      </c>
      <c r="X229" s="2"/>
      <c r="Y229" s="2"/>
    </row>
    <row r="230" s="1" customFormat="1" spans="1:25">
      <c r="A230" s="2">
        <v>115056865</v>
      </c>
      <c r="B230" s="2"/>
      <c r="C230" s="2"/>
      <c r="D230" s="2"/>
      <c r="E230" s="2"/>
      <c r="F230" s="2"/>
      <c r="G230" s="2"/>
      <c r="H230" s="3"/>
      <c r="I230" s="2" t="e">
        <f t="shared" si="19"/>
        <v>#N/A</v>
      </c>
      <c r="J230" s="4" t="str">
        <f>IF(H230="","",IF(OR(AND(M230&lt;&gt;"",M230=IFERROR(INDEX($M$3:M229,MIN(IF(COUNTIF($M$3:M229,"0")=0,10^9,LOOKUP(2,1/($M$3:M229="0"),ROW($M$3:M229))),IF(COUNTIF($M$3:M229,"1")=0,10^9,LOOKUP(2,1/($M$3:M229="1"),ROW($M$3:M229))),IF(COUNTIF($M$3:M229,"2")=0,10^9,LOOKUP(2,1/($M$3:M229="2"),ROW($M$3:M229))),IF(COUNTIF($M$3:M229,"3")=0,10^9,LOOKUP(2,1/($M$3:M229="3"),ROW($M$3:M229))),IF(COUNTIF($M$3:M229,"4")=0,10^9,LOOKUP(2,1/($M$3:M229="4"),ROW($M$3:M229))),IF(COUNTIF($M$3:M229,"5")=0,10^9,LOOKUP(2,1/($M$3:M229="5"),ROW($M$3:M229))),IF(COUNTIF($M$3:M229,"6")=0,10^9,LOOKUP(2,1/($M$3:M229="6"),ROW($M$3:M229))),IF(COUNTIF($M$3:M229,"7")=0,10^9,LOOKUP(2,1/($M$3:M229="7"),ROW($M$3:M229))),IF(COUNTIF($M$3:M229,"8")=0,10^9,LOOKUP(2,1/($M$3:M229="8"),ROW($M$3:M229))),IF(COUNTIF($M$3:M229,"9")=0,10^9,LOOKUP(2,1/($M$3:M229="9"),ROW($M$3:M229))))-ROW($M$3)+1),"")),AND(N230&lt;&gt;"",N230=IFERROR(INDEX($N$3:N229,MIN(IF(COUNTIF($N$3:N229,"鼠")=0,10^9,LOOKUP(2,1/($N$3:N229="鼠"),ROW($N$3:N229))),IF(COUNTIF($N$3:N229,"牛")=0,10^9,LOOKUP(2,1/($N$3:N229="牛"),ROW($N$3:N229))),IF(COUNTIF($N$3:N229,"虎")=0,10^9,LOOKUP(2,1/($N$3:N229="虎"),ROW($N$3:N229))),IF(COUNTIF($N$3:N229,"兔")=0,10^9,LOOKUP(2,1/($N$3:N229="兔"),ROW($N$3:N229))),IF(COUNTIF($N$3:N229,"龙")=0,10^9,LOOKUP(2,1/($N$3:N229="龙"),ROW($N$3:N229))),IF(COUNTIF($N$3:N229,"蛇")=0,10^9,LOOKUP(2,1/($N$3:N229="蛇"),ROW($N$3:N229))),IF(COUNTIF($N$3:N229,"马")=0,10^9,LOOKUP(2,1/($N$3:N229="马"),ROW($N$3:N229))),IF(COUNTIF($N$3:N229,"羊")=0,10^9,LOOKUP(2,1/($N$3:N229="羊"),ROW($N$3:N229))),IF(COUNTIF($N$3:N229,"猴")=0,10^9,LOOKUP(2,1/($N$3:N229="猴"),ROW($N$3:N229))),IF(COUNTIF($N$3:N229,"鸡")=0,10^9,LOOKUP(2,1/($N$3:N229="鸡"),ROW($N$3:N229))),IF(COUNTIF($N$3:N229,"狗")=0,10^9,LOOKUP(2,1/($N$3:N229="狗"),ROW($N$3:N229))),IF(COUNTIF($N$3:N229,"猪")=0,10^9,LOOKUP(2,1/($N$3:N229="猪"),ROW($N$3:N229))))-ROW($N$3)+1),""))),0,IF(ISNUMBER(J229),J229+1,1)))</f>
        <v/>
      </c>
      <c r="K230" s="5" t="e">
        <f t="shared" si="24"/>
        <v>#N/A</v>
      </c>
      <c r="M230" s="6" t="str">
        <f t="shared" si="20"/>
        <v/>
      </c>
      <c r="N230" s="2" t="e">
        <f t="shared" si="21"/>
        <v>#N/A</v>
      </c>
      <c r="O230" s="7" t="str">
        <f>IF(M230="","",IF(COUNTIF(M231:$M$1000,M230)&gt;0,"",M230))</f>
        <v/>
      </c>
      <c r="P230" s="8" t="e">
        <f>IF(N230="","",IF(COUNTIF(N231:$N$1000,N230)&gt;0,"",N230))</f>
        <v>#N/A</v>
      </c>
      <c r="Q230" s="21" t="e">
        <f t="shared" si="22"/>
        <v>#NUM!</v>
      </c>
      <c r="R230" s="22" t="e">
        <f t="shared" si="23"/>
        <v>#NUM!</v>
      </c>
      <c r="X230" s="2"/>
      <c r="Y230" s="2"/>
    </row>
    <row r="231" s="1" customFormat="1" spans="1:25">
      <c r="A231" s="2">
        <v>115056866</v>
      </c>
      <c r="B231" s="2"/>
      <c r="C231" s="2"/>
      <c r="D231" s="2"/>
      <c r="E231" s="2"/>
      <c r="F231" s="2"/>
      <c r="G231" s="2"/>
      <c r="H231" s="3"/>
      <c r="I231" s="2" t="e">
        <f t="shared" si="19"/>
        <v>#N/A</v>
      </c>
      <c r="J231" s="4" t="str">
        <f>IF(H231="","",IF(OR(AND(M231&lt;&gt;"",M231=IFERROR(INDEX($M$3:M230,MIN(IF(COUNTIF($M$3:M230,"0")=0,10^9,LOOKUP(2,1/($M$3:M230="0"),ROW($M$3:M230))),IF(COUNTIF($M$3:M230,"1")=0,10^9,LOOKUP(2,1/($M$3:M230="1"),ROW($M$3:M230))),IF(COUNTIF($M$3:M230,"2")=0,10^9,LOOKUP(2,1/($M$3:M230="2"),ROW($M$3:M230))),IF(COUNTIF($M$3:M230,"3")=0,10^9,LOOKUP(2,1/($M$3:M230="3"),ROW($M$3:M230))),IF(COUNTIF($M$3:M230,"4")=0,10^9,LOOKUP(2,1/($M$3:M230="4"),ROW($M$3:M230))),IF(COUNTIF($M$3:M230,"5")=0,10^9,LOOKUP(2,1/($M$3:M230="5"),ROW($M$3:M230))),IF(COUNTIF($M$3:M230,"6")=0,10^9,LOOKUP(2,1/($M$3:M230="6"),ROW($M$3:M230))),IF(COUNTIF($M$3:M230,"7")=0,10^9,LOOKUP(2,1/($M$3:M230="7"),ROW($M$3:M230))),IF(COUNTIF($M$3:M230,"8")=0,10^9,LOOKUP(2,1/($M$3:M230="8"),ROW($M$3:M230))),IF(COUNTIF($M$3:M230,"9")=0,10^9,LOOKUP(2,1/($M$3:M230="9"),ROW($M$3:M230))))-ROW($M$3)+1),"")),AND(N231&lt;&gt;"",N231=IFERROR(INDEX($N$3:N230,MIN(IF(COUNTIF($N$3:N230,"鼠")=0,10^9,LOOKUP(2,1/($N$3:N230="鼠"),ROW($N$3:N230))),IF(COUNTIF($N$3:N230,"牛")=0,10^9,LOOKUP(2,1/($N$3:N230="牛"),ROW($N$3:N230))),IF(COUNTIF($N$3:N230,"虎")=0,10^9,LOOKUP(2,1/($N$3:N230="虎"),ROW($N$3:N230))),IF(COUNTIF($N$3:N230,"兔")=0,10^9,LOOKUP(2,1/($N$3:N230="兔"),ROW($N$3:N230))),IF(COUNTIF($N$3:N230,"龙")=0,10^9,LOOKUP(2,1/($N$3:N230="龙"),ROW($N$3:N230))),IF(COUNTIF($N$3:N230,"蛇")=0,10^9,LOOKUP(2,1/($N$3:N230="蛇"),ROW($N$3:N230))),IF(COUNTIF($N$3:N230,"马")=0,10^9,LOOKUP(2,1/($N$3:N230="马"),ROW($N$3:N230))),IF(COUNTIF($N$3:N230,"羊")=0,10^9,LOOKUP(2,1/($N$3:N230="羊"),ROW($N$3:N230))),IF(COUNTIF($N$3:N230,"猴")=0,10^9,LOOKUP(2,1/($N$3:N230="猴"),ROW($N$3:N230))),IF(COUNTIF($N$3:N230,"鸡")=0,10^9,LOOKUP(2,1/($N$3:N230="鸡"),ROW($N$3:N230))),IF(COUNTIF($N$3:N230,"狗")=0,10^9,LOOKUP(2,1/($N$3:N230="狗"),ROW($N$3:N230))),IF(COUNTIF($N$3:N230,"猪")=0,10^9,LOOKUP(2,1/($N$3:N230="猪"),ROW($N$3:N230))))-ROW($N$3)+1),""))),0,IF(ISNUMBER(J230),J230+1,1)))</f>
        <v/>
      </c>
      <c r="K231" s="5" t="e">
        <f t="shared" si="24"/>
        <v>#N/A</v>
      </c>
      <c r="M231" s="6" t="str">
        <f t="shared" si="20"/>
        <v/>
      </c>
      <c r="N231" s="2" t="e">
        <f t="shared" si="21"/>
        <v>#N/A</v>
      </c>
      <c r="O231" s="7" t="str">
        <f>IF(M231="","",IF(COUNTIF(M232:$M$1000,M231)&gt;0,"",M231))</f>
        <v/>
      </c>
      <c r="P231" s="8" t="e">
        <f>IF(N231="","",IF(COUNTIF(N232:$N$1000,N231)&gt;0,"",N231))</f>
        <v>#N/A</v>
      </c>
      <c r="Q231" s="21" t="e">
        <f t="shared" si="22"/>
        <v>#NUM!</v>
      </c>
      <c r="R231" s="22" t="e">
        <f t="shared" si="23"/>
        <v>#NUM!</v>
      </c>
      <c r="X231" s="2"/>
      <c r="Y231" s="2"/>
    </row>
    <row r="232" s="1" customFormat="1" spans="1:25">
      <c r="A232" s="2">
        <v>115056867</v>
      </c>
      <c r="B232" s="2"/>
      <c r="C232" s="2"/>
      <c r="D232" s="2"/>
      <c r="E232" s="2"/>
      <c r="F232" s="2"/>
      <c r="G232" s="2"/>
      <c r="H232" s="3"/>
      <c r="I232" s="2" t="e">
        <f t="shared" si="19"/>
        <v>#N/A</v>
      </c>
      <c r="J232" s="4" t="str">
        <f>IF(H232="","",IF(OR(AND(M232&lt;&gt;"",M232=IFERROR(INDEX($M$3:M231,MIN(IF(COUNTIF($M$3:M231,"0")=0,10^9,LOOKUP(2,1/($M$3:M231="0"),ROW($M$3:M231))),IF(COUNTIF($M$3:M231,"1")=0,10^9,LOOKUP(2,1/($M$3:M231="1"),ROW($M$3:M231))),IF(COUNTIF($M$3:M231,"2")=0,10^9,LOOKUP(2,1/($M$3:M231="2"),ROW($M$3:M231))),IF(COUNTIF($M$3:M231,"3")=0,10^9,LOOKUP(2,1/($M$3:M231="3"),ROW($M$3:M231))),IF(COUNTIF($M$3:M231,"4")=0,10^9,LOOKUP(2,1/($M$3:M231="4"),ROW($M$3:M231))),IF(COUNTIF($M$3:M231,"5")=0,10^9,LOOKUP(2,1/($M$3:M231="5"),ROW($M$3:M231))),IF(COUNTIF($M$3:M231,"6")=0,10^9,LOOKUP(2,1/($M$3:M231="6"),ROW($M$3:M231))),IF(COUNTIF($M$3:M231,"7")=0,10^9,LOOKUP(2,1/($M$3:M231="7"),ROW($M$3:M231))),IF(COUNTIF($M$3:M231,"8")=0,10^9,LOOKUP(2,1/($M$3:M231="8"),ROW($M$3:M231))),IF(COUNTIF($M$3:M231,"9")=0,10^9,LOOKUP(2,1/($M$3:M231="9"),ROW($M$3:M231))))-ROW($M$3)+1),"")),AND(N232&lt;&gt;"",N232=IFERROR(INDEX($N$3:N231,MIN(IF(COUNTIF($N$3:N231,"鼠")=0,10^9,LOOKUP(2,1/($N$3:N231="鼠"),ROW($N$3:N231))),IF(COUNTIF($N$3:N231,"牛")=0,10^9,LOOKUP(2,1/($N$3:N231="牛"),ROW($N$3:N231))),IF(COUNTIF($N$3:N231,"虎")=0,10^9,LOOKUP(2,1/($N$3:N231="虎"),ROW($N$3:N231))),IF(COUNTIF($N$3:N231,"兔")=0,10^9,LOOKUP(2,1/($N$3:N231="兔"),ROW($N$3:N231))),IF(COUNTIF($N$3:N231,"龙")=0,10^9,LOOKUP(2,1/($N$3:N231="龙"),ROW($N$3:N231))),IF(COUNTIF($N$3:N231,"蛇")=0,10^9,LOOKUP(2,1/($N$3:N231="蛇"),ROW($N$3:N231))),IF(COUNTIF($N$3:N231,"马")=0,10^9,LOOKUP(2,1/($N$3:N231="马"),ROW($N$3:N231))),IF(COUNTIF($N$3:N231,"羊")=0,10^9,LOOKUP(2,1/($N$3:N231="羊"),ROW($N$3:N231))),IF(COUNTIF($N$3:N231,"猴")=0,10^9,LOOKUP(2,1/($N$3:N231="猴"),ROW($N$3:N231))),IF(COUNTIF($N$3:N231,"鸡")=0,10^9,LOOKUP(2,1/($N$3:N231="鸡"),ROW($N$3:N231))),IF(COUNTIF($N$3:N231,"狗")=0,10^9,LOOKUP(2,1/($N$3:N231="狗"),ROW($N$3:N231))),IF(COUNTIF($N$3:N231,"猪")=0,10^9,LOOKUP(2,1/($N$3:N231="猪"),ROW($N$3:N231))))-ROW($N$3)+1),""))),0,IF(ISNUMBER(J231),J231+1,1)))</f>
        <v/>
      </c>
      <c r="K232" s="5" t="e">
        <f t="shared" si="24"/>
        <v>#N/A</v>
      </c>
      <c r="M232" s="6" t="str">
        <f t="shared" si="20"/>
        <v/>
      </c>
      <c r="N232" s="2" t="e">
        <f t="shared" si="21"/>
        <v>#N/A</v>
      </c>
      <c r="O232" s="7" t="str">
        <f>IF(M232="","",IF(COUNTIF(M233:$M$1000,M232)&gt;0,"",M232))</f>
        <v/>
      </c>
      <c r="P232" s="8" t="e">
        <f>IF(N232="","",IF(COUNTIF(N233:$N$1000,N232)&gt;0,"",N232))</f>
        <v>#N/A</v>
      </c>
      <c r="Q232" s="21" t="e">
        <f t="shared" si="22"/>
        <v>#NUM!</v>
      </c>
      <c r="R232" s="22" t="e">
        <f t="shared" si="23"/>
        <v>#NUM!</v>
      </c>
      <c r="X232" s="2"/>
      <c r="Y232" s="2"/>
    </row>
    <row r="233" s="1" customFormat="1" spans="1:25">
      <c r="A233" s="2">
        <v>115056868</v>
      </c>
      <c r="B233" s="2"/>
      <c r="C233" s="2"/>
      <c r="D233" s="2"/>
      <c r="E233" s="2"/>
      <c r="F233" s="2"/>
      <c r="G233" s="2"/>
      <c r="H233" s="3"/>
      <c r="I233" s="2" t="e">
        <f t="shared" si="19"/>
        <v>#N/A</v>
      </c>
      <c r="J233" s="4" t="str">
        <f>IF(H233="","",IF(OR(AND(M233&lt;&gt;"",M233=IFERROR(INDEX($M$3:M232,MIN(IF(COUNTIF($M$3:M232,"0")=0,10^9,LOOKUP(2,1/($M$3:M232="0"),ROW($M$3:M232))),IF(COUNTIF($M$3:M232,"1")=0,10^9,LOOKUP(2,1/($M$3:M232="1"),ROW($M$3:M232))),IF(COUNTIF($M$3:M232,"2")=0,10^9,LOOKUP(2,1/($M$3:M232="2"),ROW($M$3:M232))),IF(COUNTIF($M$3:M232,"3")=0,10^9,LOOKUP(2,1/($M$3:M232="3"),ROW($M$3:M232))),IF(COUNTIF($M$3:M232,"4")=0,10^9,LOOKUP(2,1/($M$3:M232="4"),ROW($M$3:M232))),IF(COUNTIF($M$3:M232,"5")=0,10^9,LOOKUP(2,1/($M$3:M232="5"),ROW($M$3:M232))),IF(COUNTIF($M$3:M232,"6")=0,10^9,LOOKUP(2,1/($M$3:M232="6"),ROW($M$3:M232))),IF(COUNTIF($M$3:M232,"7")=0,10^9,LOOKUP(2,1/($M$3:M232="7"),ROW($M$3:M232))),IF(COUNTIF($M$3:M232,"8")=0,10^9,LOOKUP(2,1/($M$3:M232="8"),ROW($M$3:M232))),IF(COUNTIF($M$3:M232,"9")=0,10^9,LOOKUP(2,1/($M$3:M232="9"),ROW($M$3:M232))))-ROW($M$3)+1),"")),AND(N233&lt;&gt;"",N233=IFERROR(INDEX($N$3:N232,MIN(IF(COUNTIF($N$3:N232,"鼠")=0,10^9,LOOKUP(2,1/($N$3:N232="鼠"),ROW($N$3:N232))),IF(COUNTIF($N$3:N232,"牛")=0,10^9,LOOKUP(2,1/($N$3:N232="牛"),ROW($N$3:N232))),IF(COUNTIF($N$3:N232,"虎")=0,10^9,LOOKUP(2,1/($N$3:N232="虎"),ROW($N$3:N232))),IF(COUNTIF($N$3:N232,"兔")=0,10^9,LOOKUP(2,1/($N$3:N232="兔"),ROW($N$3:N232))),IF(COUNTIF($N$3:N232,"龙")=0,10^9,LOOKUP(2,1/($N$3:N232="龙"),ROW($N$3:N232))),IF(COUNTIF($N$3:N232,"蛇")=0,10^9,LOOKUP(2,1/($N$3:N232="蛇"),ROW($N$3:N232))),IF(COUNTIF($N$3:N232,"马")=0,10^9,LOOKUP(2,1/($N$3:N232="马"),ROW($N$3:N232))),IF(COUNTIF($N$3:N232,"羊")=0,10^9,LOOKUP(2,1/($N$3:N232="羊"),ROW($N$3:N232))),IF(COUNTIF($N$3:N232,"猴")=0,10^9,LOOKUP(2,1/($N$3:N232="猴"),ROW($N$3:N232))),IF(COUNTIF($N$3:N232,"鸡")=0,10^9,LOOKUP(2,1/($N$3:N232="鸡"),ROW($N$3:N232))),IF(COUNTIF($N$3:N232,"狗")=0,10^9,LOOKUP(2,1/($N$3:N232="狗"),ROW($N$3:N232))),IF(COUNTIF($N$3:N232,"猪")=0,10^9,LOOKUP(2,1/($N$3:N232="猪"),ROW($N$3:N232))))-ROW($N$3)+1),""))),0,IF(ISNUMBER(J232),J232+1,1)))</f>
        <v/>
      </c>
      <c r="K233" s="5" t="e">
        <f t="shared" si="24"/>
        <v>#N/A</v>
      </c>
      <c r="M233" s="6" t="str">
        <f t="shared" si="20"/>
        <v/>
      </c>
      <c r="N233" s="2" t="e">
        <f t="shared" si="21"/>
        <v>#N/A</v>
      </c>
      <c r="O233" s="7" t="str">
        <f>IF(M233="","",IF(COUNTIF(M234:$M$1000,M233)&gt;0,"",M233))</f>
        <v/>
      </c>
      <c r="P233" s="8" t="e">
        <f>IF(N233="","",IF(COUNTIF(N234:$N$1000,N233)&gt;0,"",N233))</f>
        <v>#N/A</v>
      </c>
      <c r="Q233" s="21" t="e">
        <f t="shared" si="22"/>
        <v>#NUM!</v>
      </c>
      <c r="R233" s="22" t="e">
        <f t="shared" si="23"/>
        <v>#NUM!</v>
      </c>
      <c r="X233" s="2"/>
      <c r="Y233" s="2"/>
    </row>
    <row r="234" s="1" customFormat="1" spans="1:25">
      <c r="A234" s="2">
        <v>115056869</v>
      </c>
      <c r="B234" s="2"/>
      <c r="C234" s="2"/>
      <c r="D234" s="2"/>
      <c r="E234" s="2"/>
      <c r="F234" s="2"/>
      <c r="G234" s="2"/>
      <c r="H234" s="3"/>
      <c r="I234" s="2" t="e">
        <f t="shared" si="19"/>
        <v>#N/A</v>
      </c>
      <c r="J234" s="4" t="str">
        <f>IF(H234="","",IF(OR(AND(M234&lt;&gt;"",M234=IFERROR(INDEX($M$3:M233,MIN(IF(COUNTIF($M$3:M233,"0")=0,10^9,LOOKUP(2,1/($M$3:M233="0"),ROW($M$3:M233))),IF(COUNTIF($M$3:M233,"1")=0,10^9,LOOKUP(2,1/($M$3:M233="1"),ROW($M$3:M233))),IF(COUNTIF($M$3:M233,"2")=0,10^9,LOOKUP(2,1/($M$3:M233="2"),ROW($M$3:M233))),IF(COUNTIF($M$3:M233,"3")=0,10^9,LOOKUP(2,1/($M$3:M233="3"),ROW($M$3:M233))),IF(COUNTIF($M$3:M233,"4")=0,10^9,LOOKUP(2,1/($M$3:M233="4"),ROW($M$3:M233))),IF(COUNTIF($M$3:M233,"5")=0,10^9,LOOKUP(2,1/($M$3:M233="5"),ROW($M$3:M233))),IF(COUNTIF($M$3:M233,"6")=0,10^9,LOOKUP(2,1/($M$3:M233="6"),ROW($M$3:M233))),IF(COUNTIF($M$3:M233,"7")=0,10^9,LOOKUP(2,1/($M$3:M233="7"),ROW($M$3:M233))),IF(COUNTIF($M$3:M233,"8")=0,10^9,LOOKUP(2,1/($M$3:M233="8"),ROW($M$3:M233))),IF(COUNTIF($M$3:M233,"9")=0,10^9,LOOKUP(2,1/($M$3:M233="9"),ROW($M$3:M233))))-ROW($M$3)+1),"")),AND(N234&lt;&gt;"",N234=IFERROR(INDEX($N$3:N233,MIN(IF(COUNTIF($N$3:N233,"鼠")=0,10^9,LOOKUP(2,1/($N$3:N233="鼠"),ROW($N$3:N233))),IF(COUNTIF($N$3:N233,"牛")=0,10^9,LOOKUP(2,1/($N$3:N233="牛"),ROW($N$3:N233))),IF(COUNTIF($N$3:N233,"虎")=0,10^9,LOOKUP(2,1/($N$3:N233="虎"),ROW($N$3:N233))),IF(COUNTIF($N$3:N233,"兔")=0,10^9,LOOKUP(2,1/($N$3:N233="兔"),ROW($N$3:N233))),IF(COUNTIF($N$3:N233,"龙")=0,10^9,LOOKUP(2,1/($N$3:N233="龙"),ROW($N$3:N233))),IF(COUNTIF($N$3:N233,"蛇")=0,10^9,LOOKUP(2,1/($N$3:N233="蛇"),ROW($N$3:N233))),IF(COUNTIF($N$3:N233,"马")=0,10^9,LOOKUP(2,1/($N$3:N233="马"),ROW($N$3:N233))),IF(COUNTIF($N$3:N233,"羊")=0,10^9,LOOKUP(2,1/($N$3:N233="羊"),ROW($N$3:N233))),IF(COUNTIF($N$3:N233,"猴")=0,10^9,LOOKUP(2,1/($N$3:N233="猴"),ROW($N$3:N233))),IF(COUNTIF($N$3:N233,"鸡")=0,10^9,LOOKUP(2,1/($N$3:N233="鸡"),ROW($N$3:N233))),IF(COUNTIF($N$3:N233,"狗")=0,10^9,LOOKUP(2,1/($N$3:N233="狗"),ROW($N$3:N233))),IF(COUNTIF($N$3:N233,"猪")=0,10^9,LOOKUP(2,1/($N$3:N233="猪"),ROW($N$3:N233))))-ROW($N$3)+1),""))),0,IF(ISNUMBER(J233),J233+1,1)))</f>
        <v/>
      </c>
      <c r="K234" s="5" t="e">
        <f t="shared" si="24"/>
        <v>#N/A</v>
      </c>
      <c r="M234" s="6" t="str">
        <f t="shared" si="20"/>
        <v/>
      </c>
      <c r="N234" s="2" t="e">
        <f t="shared" si="21"/>
        <v>#N/A</v>
      </c>
      <c r="O234" s="7" t="str">
        <f>IF(M234="","",IF(COUNTIF(M235:$M$1000,M234)&gt;0,"",M234))</f>
        <v/>
      </c>
      <c r="P234" s="8" t="e">
        <f>IF(N234="","",IF(COUNTIF(N235:$N$1000,N234)&gt;0,"",N234))</f>
        <v>#N/A</v>
      </c>
      <c r="Q234" s="21" t="e">
        <f t="shared" si="22"/>
        <v>#NUM!</v>
      </c>
      <c r="R234" s="22" t="e">
        <f t="shared" si="23"/>
        <v>#NUM!</v>
      </c>
      <c r="X234" s="2"/>
      <c r="Y234" s="2"/>
    </row>
    <row r="235" s="1" customFormat="1" spans="1:25">
      <c r="A235" s="2">
        <v>115056870</v>
      </c>
      <c r="B235" s="2"/>
      <c r="C235" s="2"/>
      <c r="D235" s="2"/>
      <c r="E235" s="2"/>
      <c r="F235" s="2"/>
      <c r="G235" s="2"/>
      <c r="H235" s="3"/>
      <c r="I235" s="2" t="e">
        <f t="shared" si="19"/>
        <v>#N/A</v>
      </c>
      <c r="J235" s="4" t="str">
        <f>IF(H235="","",IF(OR(AND(M235&lt;&gt;"",M235=IFERROR(INDEX($M$3:M234,MIN(IF(COUNTIF($M$3:M234,"0")=0,10^9,LOOKUP(2,1/($M$3:M234="0"),ROW($M$3:M234))),IF(COUNTIF($M$3:M234,"1")=0,10^9,LOOKUP(2,1/($M$3:M234="1"),ROW($M$3:M234))),IF(COUNTIF($M$3:M234,"2")=0,10^9,LOOKUP(2,1/($M$3:M234="2"),ROW($M$3:M234))),IF(COUNTIF($M$3:M234,"3")=0,10^9,LOOKUP(2,1/($M$3:M234="3"),ROW($M$3:M234))),IF(COUNTIF($M$3:M234,"4")=0,10^9,LOOKUP(2,1/($M$3:M234="4"),ROW($M$3:M234))),IF(COUNTIF($M$3:M234,"5")=0,10^9,LOOKUP(2,1/($M$3:M234="5"),ROW($M$3:M234))),IF(COUNTIF($M$3:M234,"6")=0,10^9,LOOKUP(2,1/($M$3:M234="6"),ROW($M$3:M234))),IF(COUNTIF($M$3:M234,"7")=0,10^9,LOOKUP(2,1/($M$3:M234="7"),ROW($M$3:M234))),IF(COUNTIF($M$3:M234,"8")=0,10^9,LOOKUP(2,1/($M$3:M234="8"),ROW($M$3:M234))),IF(COUNTIF($M$3:M234,"9")=0,10^9,LOOKUP(2,1/($M$3:M234="9"),ROW($M$3:M234))))-ROW($M$3)+1),"")),AND(N235&lt;&gt;"",N235=IFERROR(INDEX($N$3:N234,MIN(IF(COUNTIF($N$3:N234,"鼠")=0,10^9,LOOKUP(2,1/($N$3:N234="鼠"),ROW($N$3:N234))),IF(COUNTIF($N$3:N234,"牛")=0,10^9,LOOKUP(2,1/($N$3:N234="牛"),ROW($N$3:N234))),IF(COUNTIF($N$3:N234,"虎")=0,10^9,LOOKUP(2,1/($N$3:N234="虎"),ROW($N$3:N234))),IF(COUNTIF($N$3:N234,"兔")=0,10^9,LOOKUP(2,1/($N$3:N234="兔"),ROW($N$3:N234))),IF(COUNTIF($N$3:N234,"龙")=0,10^9,LOOKUP(2,1/($N$3:N234="龙"),ROW($N$3:N234))),IF(COUNTIF($N$3:N234,"蛇")=0,10^9,LOOKUP(2,1/($N$3:N234="蛇"),ROW($N$3:N234))),IF(COUNTIF($N$3:N234,"马")=0,10^9,LOOKUP(2,1/($N$3:N234="马"),ROW($N$3:N234))),IF(COUNTIF($N$3:N234,"羊")=0,10^9,LOOKUP(2,1/($N$3:N234="羊"),ROW($N$3:N234))),IF(COUNTIF($N$3:N234,"猴")=0,10^9,LOOKUP(2,1/($N$3:N234="猴"),ROW($N$3:N234))),IF(COUNTIF($N$3:N234,"鸡")=0,10^9,LOOKUP(2,1/($N$3:N234="鸡"),ROW($N$3:N234))),IF(COUNTIF($N$3:N234,"狗")=0,10^9,LOOKUP(2,1/($N$3:N234="狗"),ROW($N$3:N234))),IF(COUNTIF($N$3:N234,"猪")=0,10^9,LOOKUP(2,1/($N$3:N234="猪"),ROW($N$3:N234))))-ROW($N$3)+1),""))),0,IF(ISNUMBER(J234),J234+1,1)))</f>
        <v/>
      </c>
      <c r="K235" s="5" t="e">
        <f t="shared" si="24"/>
        <v>#N/A</v>
      </c>
      <c r="M235" s="6" t="str">
        <f t="shared" si="20"/>
        <v/>
      </c>
      <c r="N235" s="2" t="e">
        <f t="shared" si="21"/>
        <v>#N/A</v>
      </c>
      <c r="O235" s="7" t="str">
        <f>IF(M235="","",IF(COUNTIF(M236:$M$1000,M235)&gt;0,"",M235))</f>
        <v/>
      </c>
      <c r="P235" s="8" t="e">
        <f>IF(N235="","",IF(COUNTIF(N236:$N$1000,N235)&gt;0,"",N235))</f>
        <v>#N/A</v>
      </c>
      <c r="Q235" s="21" t="e">
        <f t="shared" si="22"/>
        <v>#NUM!</v>
      </c>
      <c r="R235" s="22" t="e">
        <f t="shared" si="23"/>
        <v>#NUM!</v>
      </c>
      <c r="X235" s="2"/>
      <c r="Y235" s="2"/>
    </row>
    <row r="236" s="1" customFormat="1" spans="1:25">
      <c r="A236" s="2">
        <v>115056871</v>
      </c>
      <c r="B236" s="2"/>
      <c r="C236" s="2"/>
      <c r="D236" s="2"/>
      <c r="E236" s="2"/>
      <c r="F236" s="2"/>
      <c r="G236" s="2"/>
      <c r="H236" s="3"/>
      <c r="I236" s="2" t="e">
        <f t="shared" si="19"/>
        <v>#N/A</v>
      </c>
      <c r="J236" s="4" t="str">
        <f>IF(H236="","",IF(OR(AND(M236&lt;&gt;"",M236=IFERROR(INDEX($M$3:M235,MIN(IF(COUNTIF($M$3:M235,"0")=0,10^9,LOOKUP(2,1/($M$3:M235="0"),ROW($M$3:M235))),IF(COUNTIF($M$3:M235,"1")=0,10^9,LOOKUP(2,1/($M$3:M235="1"),ROW($M$3:M235))),IF(COUNTIF($M$3:M235,"2")=0,10^9,LOOKUP(2,1/($M$3:M235="2"),ROW($M$3:M235))),IF(COUNTIF($M$3:M235,"3")=0,10^9,LOOKUP(2,1/($M$3:M235="3"),ROW($M$3:M235))),IF(COUNTIF($M$3:M235,"4")=0,10^9,LOOKUP(2,1/($M$3:M235="4"),ROW($M$3:M235))),IF(COUNTIF($M$3:M235,"5")=0,10^9,LOOKUP(2,1/($M$3:M235="5"),ROW($M$3:M235))),IF(COUNTIF($M$3:M235,"6")=0,10^9,LOOKUP(2,1/($M$3:M235="6"),ROW($M$3:M235))),IF(COUNTIF($M$3:M235,"7")=0,10^9,LOOKUP(2,1/($M$3:M235="7"),ROW($M$3:M235))),IF(COUNTIF($M$3:M235,"8")=0,10^9,LOOKUP(2,1/($M$3:M235="8"),ROW($M$3:M235))),IF(COUNTIF($M$3:M235,"9")=0,10^9,LOOKUP(2,1/($M$3:M235="9"),ROW($M$3:M235))))-ROW($M$3)+1),"")),AND(N236&lt;&gt;"",N236=IFERROR(INDEX($N$3:N235,MIN(IF(COUNTIF($N$3:N235,"鼠")=0,10^9,LOOKUP(2,1/($N$3:N235="鼠"),ROW($N$3:N235))),IF(COUNTIF($N$3:N235,"牛")=0,10^9,LOOKUP(2,1/($N$3:N235="牛"),ROW($N$3:N235))),IF(COUNTIF($N$3:N235,"虎")=0,10^9,LOOKUP(2,1/($N$3:N235="虎"),ROW($N$3:N235))),IF(COUNTIF($N$3:N235,"兔")=0,10^9,LOOKUP(2,1/($N$3:N235="兔"),ROW($N$3:N235))),IF(COUNTIF($N$3:N235,"龙")=0,10^9,LOOKUP(2,1/($N$3:N235="龙"),ROW($N$3:N235))),IF(COUNTIF($N$3:N235,"蛇")=0,10^9,LOOKUP(2,1/($N$3:N235="蛇"),ROW($N$3:N235))),IF(COUNTIF($N$3:N235,"马")=0,10^9,LOOKUP(2,1/($N$3:N235="马"),ROW($N$3:N235))),IF(COUNTIF($N$3:N235,"羊")=0,10^9,LOOKUP(2,1/($N$3:N235="羊"),ROW($N$3:N235))),IF(COUNTIF($N$3:N235,"猴")=0,10^9,LOOKUP(2,1/($N$3:N235="猴"),ROW($N$3:N235))),IF(COUNTIF($N$3:N235,"鸡")=0,10^9,LOOKUP(2,1/($N$3:N235="鸡"),ROW($N$3:N235))),IF(COUNTIF($N$3:N235,"狗")=0,10^9,LOOKUP(2,1/($N$3:N235="狗"),ROW($N$3:N235))),IF(COUNTIF($N$3:N235,"猪")=0,10^9,LOOKUP(2,1/($N$3:N235="猪"),ROW($N$3:N235))))-ROW($N$3)+1),""))),0,IF(ISNUMBER(J235),J235+1,1)))</f>
        <v/>
      </c>
      <c r="K236" s="5" t="e">
        <f t="shared" si="24"/>
        <v>#N/A</v>
      </c>
      <c r="M236" s="6" t="str">
        <f t="shared" si="20"/>
        <v/>
      </c>
      <c r="N236" s="2" t="e">
        <f t="shared" si="21"/>
        <v>#N/A</v>
      </c>
      <c r="O236" s="7" t="str">
        <f>IF(M236="","",IF(COUNTIF(M237:$M$1000,M236)&gt;0,"",M236))</f>
        <v/>
      </c>
      <c r="P236" s="8" t="e">
        <f>IF(N236="","",IF(COUNTIF(N237:$N$1000,N236)&gt;0,"",N236))</f>
        <v>#N/A</v>
      </c>
      <c r="Q236" s="21" t="e">
        <f t="shared" si="22"/>
        <v>#NUM!</v>
      </c>
      <c r="R236" s="22" t="e">
        <f t="shared" si="23"/>
        <v>#NUM!</v>
      </c>
      <c r="S236" s="11"/>
      <c r="T236" s="11"/>
      <c r="U236" s="11"/>
      <c r="W236" s="11"/>
      <c r="X236" s="2"/>
      <c r="Y236" s="2"/>
    </row>
    <row r="237" s="1" customFormat="1" spans="1:25">
      <c r="A237" s="2">
        <v>115056872</v>
      </c>
      <c r="B237" s="2"/>
      <c r="C237" s="2"/>
      <c r="D237" s="2"/>
      <c r="E237" s="2"/>
      <c r="F237" s="2"/>
      <c r="G237" s="2"/>
      <c r="H237" s="3"/>
      <c r="I237" s="2" t="e">
        <f t="shared" si="19"/>
        <v>#N/A</v>
      </c>
      <c r="J237" s="4" t="str">
        <f>IF(H237="","",IF(OR(AND(M237&lt;&gt;"",M237=IFERROR(INDEX($M$3:M236,MIN(IF(COUNTIF($M$3:M236,"0")=0,10^9,LOOKUP(2,1/($M$3:M236="0"),ROW($M$3:M236))),IF(COUNTIF($M$3:M236,"1")=0,10^9,LOOKUP(2,1/($M$3:M236="1"),ROW($M$3:M236))),IF(COUNTIF($M$3:M236,"2")=0,10^9,LOOKUP(2,1/($M$3:M236="2"),ROW($M$3:M236))),IF(COUNTIF($M$3:M236,"3")=0,10^9,LOOKUP(2,1/($M$3:M236="3"),ROW($M$3:M236))),IF(COUNTIF($M$3:M236,"4")=0,10^9,LOOKUP(2,1/($M$3:M236="4"),ROW($M$3:M236))),IF(COUNTIF($M$3:M236,"5")=0,10^9,LOOKUP(2,1/($M$3:M236="5"),ROW($M$3:M236))),IF(COUNTIF($M$3:M236,"6")=0,10^9,LOOKUP(2,1/($M$3:M236="6"),ROW($M$3:M236))),IF(COUNTIF($M$3:M236,"7")=0,10^9,LOOKUP(2,1/($M$3:M236="7"),ROW($M$3:M236))),IF(COUNTIF($M$3:M236,"8")=0,10^9,LOOKUP(2,1/($M$3:M236="8"),ROW($M$3:M236))),IF(COUNTIF($M$3:M236,"9")=0,10^9,LOOKUP(2,1/($M$3:M236="9"),ROW($M$3:M236))))-ROW($M$3)+1),"")),AND(N237&lt;&gt;"",N237=IFERROR(INDEX($N$3:N236,MIN(IF(COUNTIF($N$3:N236,"鼠")=0,10^9,LOOKUP(2,1/($N$3:N236="鼠"),ROW($N$3:N236))),IF(COUNTIF($N$3:N236,"牛")=0,10^9,LOOKUP(2,1/($N$3:N236="牛"),ROW($N$3:N236))),IF(COUNTIF($N$3:N236,"虎")=0,10^9,LOOKUP(2,1/($N$3:N236="虎"),ROW($N$3:N236))),IF(COUNTIF($N$3:N236,"兔")=0,10^9,LOOKUP(2,1/($N$3:N236="兔"),ROW($N$3:N236))),IF(COUNTIF($N$3:N236,"龙")=0,10^9,LOOKUP(2,1/($N$3:N236="龙"),ROW($N$3:N236))),IF(COUNTIF($N$3:N236,"蛇")=0,10^9,LOOKUP(2,1/($N$3:N236="蛇"),ROW($N$3:N236))),IF(COUNTIF($N$3:N236,"马")=0,10^9,LOOKUP(2,1/($N$3:N236="马"),ROW($N$3:N236))),IF(COUNTIF($N$3:N236,"羊")=0,10^9,LOOKUP(2,1/($N$3:N236="羊"),ROW($N$3:N236))),IF(COUNTIF($N$3:N236,"猴")=0,10^9,LOOKUP(2,1/($N$3:N236="猴"),ROW($N$3:N236))),IF(COUNTIF($N$3:N236,"鸡")=0,10^9,LOOKUP(2,1/($N$3:N236="鸡"),ROW($N$3:N236))),IF(COUNTIF($N$3:N236,"狗")=0,10^9,LOOKUP(2,1/($N$3:N236="狗"),ROW($N$3:N236))),IF(COUNTIF($N$3:N236,"猪")=0,10^9,LOOKUP(2,1/($N$3:N236="猪"),ROW($N$3:N236))))-ROW($N$3)+1),""))),0,IF(ISNUMBER(J236),J236+1,1)))</f>
        <v/>
      </c>
      <c r="K237" s="5" t="e">
        <f t="shared" si="24"/>
        <v>#N/A</v>
      </c>
      <c r="M237" s="6" t="str">
        <f t="shared" si="20"/>
        <v/>
      </c>
      <c r="N237" s="2" t="e">
        <f t="shared" si="21"/>
        <v>#N/A</v>
      </c>
      <c r="O237" s="7" t="str">
        <f>IF(M237="","",IF(COUNTIF(M238:$M$1000,M237)&gt;0,"",M237))</f>
        <v/>
      </c>
      <c r="P237" s="8" t="e">
        <f>IF(N237="","",IF(COUNTIF(N238:$N$1000,N237)&gt;0,"",N237))</f>
        <v>#N/A</v>
      </c>
      <c r="Q237" s="21" t="e">
        <f t="shared" si="22"/>
        <v>#NUM!</v>
      </c>
      <c r="R237" s="22" t="e">
        <f t="shared" si="23"/>
        <v>#NUM!</v>
      </c>
      <c r="S237" s="11"/>
      <c r="T237" s="11"/>
      <c r="U237" s="11"/>
      <c r="W237" s="11"/>
      <c r="X237" s="2"/>
      <c r="Y237" s="2"/>
    </row>
    <row r="238" s="1" customFormat="1" spans="1:25">
      <c r="A238" s="2">
        <v>115056873</v>
      </c>
      <c r="B238" s="2"/>
      <c r="C238" s="2"/>
      <c r="D238" s="2"/>
      <c r="E238" s="2"/>
      <c r="F238" s="2"/>
      <c r="G238" s="2"/>
      <c r="H238" s="3"/>
      <c r="I238" s="2" t="e">
        <f t="shared" si="19"/>
        <v>#N/A</v>
      </c>
      <c r="J238" s="4" t="str">
        <f>IF(H238="","",IF(OR(AND(M238&lt;&gt;"",M238=IFERROR(INDEX($M$3:M237,MIN(IF(COUNTIF($M$3:M237,"0")=0,10^9,LOOKUP(2,1/($M$3:M237="0"),ROW($M$3:M237))),IF(COUNTIF($M$3:M237,"1")=0,10^9,LOOKUP(2,1/($M$3:M237="1"),ROW($M$3:M237))),IF(COUNTIF($M$3:M237,"2")=0,10^9,LOOKUP(2,1/($M$3:M237="2"),ROW($M$3:M237))),IF(COUNTIF($M$3:M237,"3")=0,10^9,LOOKUP(2,1/($M$3:M237="3"),ROW($M$3:M237))),IF(COUNTIF($M$3:M237,"4")=0,10^9,LOOKUP(2,1/($M$3:M237="4"),ROW($M$3:M237))),IF(COUNTIF($M$3:M237,"5")=0,10^9,LOOKUP(2,1/($M$3:M237="5"),ROW($M$3:M237))),IF(COUNTIF($M$3:M237,"6")=0,10^9,LOOKUP(2,1/($M$3:M237="6"),ROW($M$3:M237))),IF(COUNTIF($M$3:M237,"7")=0,10^9,LOOKUP(2,1/($M$3:M237="7"),ROW($M$3:M237))),IF(COUNTIF($M$3:M237,"8")=0,10^9,LOOKUP(2,1/($M$3:M237="8"),ROW($M$3:M237))),IF(COUNTIF($M$3:M237,"9")=0,10^9,LOOKUP(2,1/($M$3:M237="9"),ROW($M$3:M237))))-ROW($M$3)+1),"")),AND(N238&lt;&gt;"",N238=IFERROR(INDEX($N$3:N237,MIN(IF(COUNTIF($N$3:N237,"鼠")=0,10^9,LOOKUP(2,1/($N$3:N237="鼠"),ROW($N$3:N237))),IF(COUNTIF($N$3:N237,"牛")=0,10^9,LOOKUP(2,1/($N$3:N237="牛"),ROW($N$3:N237))),IF(COUNTIF($N$3:N237,"虎")=0,10^9,LOOKUP(2,1/($N$3:N237="虎"),ROW($N$3:N237))),IF(COUNTIF($N$3:N237,"兔")=0,10^9,LOOKUP(2,1/($N$3:N237="兔"),ROW($N$3:N237))),IF(COUNTIF($N$3:N237,"龙")=0,10^9,LOOKUP(2,1/($N$3:N237="龙"),ROW($N$3:N237))),IF(COUNTIF($N$3:N237,"蛇")=0,10^9,LOOKUP(2,1/($N$3:N237="蛇"),ROW($N$3:N237))),IF(COUNTIF($N$3:N237,"马")=0,10^9,LOOKUP(2,1/($N$3:N237="马"),ROW($N$3:N237))),IF(COUNTIF($N$3:N237,"羊")=0,10^9,LOOKUP(2,1/($N$3:N237="羊"),ROW($N$3:N237))),IF(COUNTIF($N$3:N237,"猴")=0,10^9,LOOKUP(2,1/($N$3:N237="猴"),ROW($N$3:N237))),IF(COUNTIF($N$3:N237,"鸡")=0,10^9,LOOKUP(2,1/($N$3:N237="鸡"),ROW($N$3:N237))),IF(COUNTIF($N$3:N237,"狗")=0,10^9,LOOKUP(2,1/($N$3:N237="狗"),ROW($N$3:N237))),IF(COUNTIF($N$3:N237,"猪")=0,10^9,LOOKUP(2,1/($N$3:N237="猪"),ROW($N$3:N237))))-ROW($N$3)+1),""))),0,IF(ISNUMBER(J237),J237+1,1)))</f>
        <v/>
      </c>
      <c r="K238" s="5" t="e">
        <f t="shared" si="24"/>
        <v>#N/A</v>
      </c>
      <c r="M238" s="6" t="str">
        <f t="shared" si="20"/>
        <v/>
      </c>
      <c r="N238" s="2" t="e">
        <f t="shared" si="21"/>
        <v>#N/A</v>
      </c>
      <c r="O238" s="7" t="str">
        <f>IF(M238="","",IF(COUNTIF(M239:$M$1000,M238)&gt;0,"",M238))</f>
        <v/>
      </c>
      <c r="P238" s="8" t="e">
        <f>IF(N238="","",IF(COUNTIF(N239:$N$1000,N238)&gt;0,"",N238))</f>
        <v>#N/A</v>
      </c>
      <c r="Q238" s="21" t="e">
        <f t="shared" si="22"/>
        <v>#NUM!</v>
      </c>
      <c r="R238" s="22" t="e">
        <f t="shared" si="23"/>
        <v>#NUM!</v>
      </c>
      <c r="S238" s="11"/>
      <c r="T238" s="11"/>
      <c r="U238" s="11"/>
      <c r="W238" s="11"/>
      <c r="X238" s="2"/>
      <c r="Y238" s="2"/>
    </row>
    <row r="239" s="1" customFormat="1" spans="1:25">
      <c r="A239" s="2">
        <v>115056874</v>
      </c>
      <c r="B239" s="2"/>
      <c r="C239" s="2"/>
      <c r="D239" s="2"/>
      <c r="E239" s="2"/>
      <c r="F239" s="2"/>
      <c r="G239" s="2"/>
      <c r="H239" s="3"/>
      <c r="I239" s="2" t="e">
        <f t="shared" si="19"/>
        <v>#N/A</v>
      </c>
      <c r="J239" s="4" t="str">
        <f>IF(H239="","",IF(OR(AND(M239&lt;&gt;"",M239=IFERROR(INDEX($M$3:M238,MIN(IF(COUNTIF($M$3:M238,"0")=0,10^9,LOOKUP(2,1/($M$3:M238="0"),ROW($M$3:M238))),IF(COUNTIF($M$3:M238,"1")=0,10^9,LOOKUP(2,1/($M$3:M238="1"),ROW($M$3:M238))),IF(COUNTIF($M$3:M238,"2")=0,10^9,LOOKUP(2,1/($M$3:M238="2"),ROW($M$3:M238))),IF(COUNTIF($M$3:M238,"3")=0,10^9,LOOKUP(2,1/($M$3:M238="3"),ROW($M$3:M238))),IF(COUNTIF($M$3:M238,"4")=0,10^9,LOOKUP(2,1/($M$3:M238="4"),ROW($M$3:M238))),IF(COUNTIF($M$3:M238,"5")=0,10^9,LOOKUP(2,1/($M$3:M238="5"),ROW($M$3:M238))),IF(COUNTIF($M$3:M238,"6")=0,10^9,LOOKUP(2,1/($M$3:M238="6"),ROW($M$3:M238))),IF(COUNTIF($M$3:M238,"7")=0,10^9,LOOKUP(2,1/($M$3:M238="7"),ROW($M$3:M238))),IF(COUNTIF($M$3:M238,"8")=0,10^9,LOOKUP(2,1/($M$3:M238="8"),ROW($M$3:M238))),IF(COUNTIF($M$3:M238,"9")=0,10^9,LOOKUP(2,1/($M$3:M238="9"),ROW($M$3:M238))))-ROW($M$3)+1),"")),AND(N239&lt;&gt;"",N239=IFERROR(INDEX($N$3:N238,MIN(IF(COUNTIF($N$3:N238,"鼠")=0,10^9,LOOKUP(2,1/($N$3:N238="鼠"),ROW($N$3:N238))),IF(COUNTIF($N$3:N238,"牛")=0,10^9,LOOKUP(2,1/($N$3:N238="牛"),ROW($N$3:N238))),IF(COUNTIF($N$3:N238,"虎")=0,10^9,LOOKUP(2,1/($N$3:N238="虎"),ROW($N$3:N238))),IF(COUNTIF($N$3:N238,"兔")=0,10^9,LOOKUP(2,1/($N$3:N238="兔"),ROW($N$3:N238))),IF(COUNTIF($N$3:N238,"龙")=0,10^9,LOOKUP(2,1/($N$3:N238="龙"),ROW($N$3:N238))),IF(COUNTIF($N$3:N238,"蛇")=0,10^9,LOOKUP(2,1/($N$3:N238="蛇"),ROW($N$3:N238))),IF(COUNTIF($N$3:N238,"马")=0,10^9,LOOKUP(2,1/($N$3:N238="马"),ROW($N$3:N238))),IF(COUNTIF($N$3:N238,"羊")=0,10^9,LOOKUP(2,1/($N$3:N238="羊"),ROW($N$3:N238))),IF(COUNTIF($N$3:N238,"猴")=0,10^9,LOOKUP(2,1/($N$3:N238="猴"),ROW($N$3:N238))),IF(COUNTIF($N$3:N238,"鸡")=0,10^9,LOOKUP(2,1/($N$3:N238="鸡"),ROW($N$3:N238))),IF(COUNTIF($N$3:N238,"狗")=0,10^9,LOOKUP(2,1/($N$3:N238="狗"),ROW($N$3:N238))),IF(COUNTIF($N$3:N238,"猪")=0,10^9,LOOKUP(2,1/($N$3:N238="猪"),ROW($N$3:N238))))-ROW($N$3)+1),""))),0,IF(ISNUMBER(J238),J238+1,1)))</f>
        <v/>
      </c>
      <c r="K239" s="5" t="e">
        <f t="shared" si="24"/>
        <v>#N/A</v>
      </c>
      <c r="M239" s="6" t="str">
        <f t="shared" si="20"/>
        <v/>
      </c>
      <c r="N239" s="2" t="e">
        <f t="shared" si="21"/>
        <v>#N/A</v>
      </c>
      <c r="O239" s="7" t="str">
        <f>IF(M239="","",IF(COUNTIF(M240:$M$1000,M239)&gt;0,"",M239))</f>
        <v/>
      </c>
      <c r="P239" s="8" t="e">
        <f>IF(N239="","",IF(COUNTIF(N240:$N$1000,N239)&gt;0,"",N239))</f>
        <v>#N/A</v>
      </c>
      <c r="Q239" s="21" t="e">
        <f t="shared" si="22"/>
        <v>#NUM!</v>
      </c>
      <c r="R239" s="22" t="e">
        <f t="shared" si="23"/>
        <v>#NUM!</v>
      </c>
      <c r="S239" s="11"/>
      <c r="T239" s="11"/>
      <c r="U239" s="11"/>
      <c r="W239" s="11"/>
      <c r="X239" s="2"/>
      <c r="Y239" s="2"/>
    </row>
    <row r="240" s="1" customFormat="1" spans="1:25">
      <c r="A240" s="2">
        <v>115056875</v>
      </c>
      <c r="B240" s="2"/>
      <c r="C240" s="2"/>
      <c r="D240" s="2"/>
      <c r="E240" s="2"/>
      <c r="F240" s="2"/>
      <c r="G240" s="2"/>
      <c r="H240" s="3"/>
      <c r="I240" s="2" t="e">
        <f t="shared" si="19"/>
        <v>#N/A</v>
      </c>
      <c r="J240" s="4" t="str">
        <f>IF(H240="","",IF(OR(AND(M240&lt;&gt;"",M240=IFERROR(INDEX($M$3:M239,MIN(IF(COUNTIF($M$3:M239,"0")=0,10^9,LOOKUP(2,1/($M$3:M239="0"),ROW($M$3:M239))),IF(COUNTIF($M$3:M239,"1")=0,10^9,LOOKUP(2,1/($M$3:M239="1"),ROW($M$3:M239))),IF(COUNTIF($M$3:M239,"2")=0,10^9,LOOKUP(2,1/($M$3:M239="2"),ROW($M$3:M239))),IF(COUNTIF($M$3:M239,"3")=0,10^9,LOOKUP(2,1/($M$3:M239="3"),ROW($M$3:M239))),IF(COUNTIF($M$3:M239,"4")=0,10^9,LOOKUP(2,1/($M$3:M239="4"),ROW($M$3:M239))),IF(COUNTIF($M$3:M239,"5")=0,10^9,LOOKUP(2,1/($M$3:M239="5"),ROW($M$3:M239))),IF(COUNTIF($M$3:M239,"6")=0,10^9,LOOKUP(2,1/($M$3:M239="6"),ROW($M$3:M239))),IF(COUNTIF($M$3:M239,"7")=0,10^9,LOOKUP(2,1/($M$3:M239="7"),ROW($M$3:M239))),IF(COUNTIF($M$3:M239,"8")=0,10^9,LOOKUP(2,1/($M$3:M239="8"),ROW($M$3:M239))),IF(COUNTIF($M$3:M239,"9")=0,10^9,LOOKUP(2,1/($M$3:M239="9"),ROW($M$3:M239))))-ROW($M$3)+1),"")),AND(N240&lt;&gt;"",N240=IFERROR(INDEX($N$3:N239,MIN(IF(COUNTIF($N$3:N239,"鼠")=0,10^9,LOOKUP(2,1/($N$3:N239="鼠"),ROW($N$3:N239))),IF(COUNTIF($N$3:N239,"牛")=0,10^9,LOOKUP(2,1/($N$3:N239="牛"),ROW($N$3:N239))),IF(COUNTIF($N$3:N239,"虎")=0,10^9,LOOKUP(2,1/($N$3:N239="虎"),ROW($N$3:N239))),IF(COUNTIF($N$3:N239,"兔")=0,10^9,LOOKUP(2,1/($N$3:N239="兔"),ROW($N$3:N239))),IF(COUNTIF($N$3:N239,"龙")=0,10^9,LOOKUP(2,1/($N$3:N239="龙"),ROW($N$3:N239))),IF(COUNTIF($N$3:N239,"蛇")=0,10^9,LOOKUP(2,1/($N$3:N239="蛇"),ROW($N$3:N239))),IF(COUNTIF($N$3:N239,"马")=0,10^9,LOOKUP(2,1/($N$3:N239="马"),ROW($N$3:N239))),IF(COUNTIF($N$3:N239,"羊")=0,10^9,LOOKUP(2,1/($N$3:N239="羊"),ROW($N$3:N239))),IF(COUNTIF($N$3:N239,"猴")=0,10^9,LOOKUP(2,1/($N$3:N239="猴"),ROW($N$3:N239))),IF(COUNTIF($N$3:N239,"鸡")=0,10^9,LOOKUP(2,1/($N$3:N239="鸡"),ROW($N$3:N239))),IF(COUNTIF($N$3:N239,"狗")=0,10^9,LOOKUP(2,1/($N$3:N239="狗"),ROW($N$3:N239))),IF(COUNTIF($N$3:N239,"猪")=0,10^9,LOOKUP(2,1/($N$3:N239="猪"),ROW($N$3:N239))))-ROW($N$3)+1),""))),0,IF(ISNUMBER(J239),J239+1,1)))</f>
        <v/>
      </c>
      <c r="K240" s="5" t="e">
        <f t="shared" si="24"/>
        <v>#N/A</v>
      </c>
      <c r="M240" s="6" t="str">
        <f t="shared" si="20"/>
        <v/>
      </c>
      <c r="N240" s="2" t="e">
        <f t="shared" si="21"/>
        <v>#N/A</v>
      </c>
      <c r="O240" s="7" t="str">
        <f>IF(M240="","",IF(COUNTIF(M241:$M$1000,M240)&gt;0,"",M240))</f>
        <v/>
      </c>
      <c r="P240" s="8" t="e">
        <f>IF(N240="","",IF(COUNTIF(N241:$N$1000,N240)&gt;0,"",N240))</f>
        <v>#N/A</v>
      </c>
      <c r="Q240" s="21" t="e">
        <f t="shared" si="22"/>
        <v>#NUM!</v>
      </c>
      <c r="R240" s="22" t="e">
        <f t="shared" si="23"/>
        <v>#NUM!</v>
      </c>
      <c r="S240" s="11"/>
      <c r="T240" s="11"/>
      <c r="U240" s="11"/>
      <c r="W240" s="11"/>
      <c r="X240" s="2"/>
      <c r="Y240" s="2"/>
    </row>
    <row r="241" s="1" customFormat="1" spans="1:25">
      <c r="A241" s="2">
        <v>115056876</v>
      </c>
      <c r="B241" s="2"/>
      <c r="C241" s="2"/>
      <c r="D241" s="2"/>
      <c r="E241" s="2"/>
      <c r="F241" s="2"/>
      <c r="G241" s="2"/>
      <c r="H241" s="3"/>
      <c r="I241" s="2" t="e">
        <f t="shared" si="19"/>
        <v>#N/A</v>
      </c>
      <c r="J241" s="4" t="str">
        <f>IF(H241="","",IF(OR(AND(M241&lt;&gt;"",M241=IFERROR(INDEX($M$3:M240,MIN(IF(COUNTIF($M$3:M240,"0")=0,10^9,LOOKUP(2,1/($M$3:M240="0"),ROW($M$3:M240))),IF(COUNTIF($M$3:M240,"1")=0,10^9,LOOKUP(2,1/($M$3:M240="1"),ROW($M$3:M240))),IF(COUNTIF($M$3:M240,"2")=0,10^9,LOOKUP(2,1/($M$3:M240="2"),ROW($M$3:M240))),IF(COUNTIF($M$3:M240,"3")=0,10^9,LOOKUP(2,1/($M$3:M240="3"),ROW($M$3:M240))),IF(COUNTIF($M$3:M240,"4")=0,10^9,LOOKUP(2,1/($M$3:M240="4"),ROW($M$3:M240))),IF(COUNTIF($M$3:M240,"5")=0,10^9,LOOKUP(2,1/($M$3:M240="5"),ROW($M$3:M240))),IF(COUNTIF($M$3:M240,"6")=0,10^9,LOOKUP(2,1/($M$3:M240="6"),ROW($M$3:M240))),IF(COUNTIF($M$3:M240,"7")=0,10^9,LOOKUP(2,1/($M$3:M240="7"),ROW($M$3:M240))),IF(COUNTIF($M$3:M240,"8")=0,10^9,LOOKUP(2,1/($M$3:M240="8"),ROW($M$3:M240))),IF(COUNTIF($M$3:M240,"9")=0,10^9,LOOKUP(2,1/($M$3:M240="9"),ROW($M$3:M240))))-ROW($M$3)+1),"")),AND(N241&lt;&gt;"",N241=IFERROR(INDEX($N$3:N240,MIN(IF(COUNTIF($N$3:N240,"鼠")=0,10^9,LOOKUP(2,1/($N$3:N240="鼠"),ROW($N$3:N240))),IF(COUNTIF($N$3:N240,"牛")=0,10^9,LOOKUP(2,1/($N$3:N240="牛"),ROW($N$3:N240))),IF(COUNTIF($N$3:N240,"虎")=0,10^9,LOOKUP(2,1/($N$3:N240="虎"),ROW($N$3:N240))),IF(COUNTIF($N$3:N240,"兔")=0,10^9,LOOKUP(2,1/($N$3:N240="兔"),ROW($N$3:N240))),IF(COUNTIF($N$3:N240,"龙")=0,10^9,LOOKUP(2,1/($N$3:N240="龙"),ROW($N$3:N240))),IF(COUNTIF($N$3:N240,"蛇")=0,10^9,LOOKUP(2,1/($N$3:N240="蛇"),ROW($N$3:N240))),IF(COUNTIF($N$3:N240,"马")=0,10^9,LOOKUP(2,1/($N$3:N240="马"),ROW($N$3:N240))),IF(COUNTIF($N$3:N240,"羊")=0,10^9,LOOKUP(2,1/($N$3:N240="羊"),ROW($N$3:N240))),IF(COUNTIF($N$3:N240,"猴")=0,10^9,LOOKUP(2,1/($N$3:N240="猴"),ROW($N$3:N240))),IF(COUNTIF($N$3:N240,"鸡")=0,10^9,LOOKUP(2,1/($N$3:N240="鸡"),ROW($N$3:N240))),IF(COUNTIF($N$3:N240,"狗")=0,10^9,LOOKUP(2,1/($N$3:N240="狗"),ROW($N$3:N240))),IF(COUNTIF($N$3:N240,"猪")=0,10^9,LOOKUP(2,1/($N$3:N240="猪"),ROW($N$3:N240))))-ROW($N$3)+1),""))),0,IF(ISNUMBER(J240),J240+1,1)))</f>
        <v/>
      </c>
      <c r="K241" s="5" t="e">
        <f t="shared" si="24"/>
        <v>#N/A</v>
      </c>
      <c r="M241" s="6" t="str">
        <f t="shared" si="20"/>
        <v/>
      </c>
      <c r="N241" s="2" t="e">
        <f t="shared" si="21"/>
        <v>#N/A</v>
      </c>
      <c r="O241" s="7" t="str">
        <f>IF(M241="","",IF(COUNTIF(M242:$M$1000,M241)&gt;0,"",M241))</f>
        <v/>
      </c>
      <c r="P241" s="8" t="e">
        <f>IF(N241="","",IF(COUNTIF(N242:$N$1000,N241)&gt;0,"",N241))</f>
        <v>#N/A</v>
      </c>
      <c r="Q241" s="21" t="e">
        <f t="shared" si="22"/>
        <v>#NUM!</v>
      </c>
      <c r="R241" s="22" t="e">
        <f t="shared" si="23"/>
        <v>#NUM!</v>
      </c>
      <c r="S241" s="11"/>
      <c r="T241" s="11"/>
      <c r="U241" s="11"/>
      <c r="W241" s="11"/>
      <c r="X241" s="2"/>
      <c r="Y241" s="2"/>
    </row>
    <row r="242" s="1" customFormat="1" spans="1:25">
      <c r="A242" s="2">
        <v>115056877</v>
      </c>
      <c r="B242" s="2"/>
      <c r="C242" s="2"/>
      <c r="D242" s="2"/>
      <c r="E242" s="2"/>
      <c r="F242" s="2"/>
      <c r="G242" s="2"/>
      <c r="H242" s="3"/>
      <c r="I242" s="2" t="e">
        <f t="shared" si="19"/>
        <v>#N/A</v>
      </c>
      <c r="J242" s="4" t="str">
        <f>IF(H242="","",IF(OR(AND(M242&lt;&gt;"",M242=IFERROR(INDEX($M$3:M241,MIN(IF(COUNTIF($M$3:M241,"0")=0,10^9,LOOKUP(2,1/($M$3:M241="0"),ROW($M$3:M241))),IF(COUNTIF($M$3:M241,"1")=0,10^9,LOOKUP(2,1/($M$3:M241="1"),ROW($M$3:M241))),IF(COUNTIF($M$3:M241,"2")=0,10^9,LOOKUP(2,1/($M$3:M241="2"),ROW($M$3:M241))),IF(COUNTIF($M$3:M241,"3")=0,10^9,LOOKUP(2,1/($M$3:M241="3"),ROW($M$3:M241))),IF(COUNTIF($M$3:M241,"4")=0,10^9,LOOKUP(2,1/($M$3:M241="4"),ROW($M$3:M241))),IF(COUNTIF($M$3:M241,"5")=0,10^9,LOOKUP(2,1/($M$3:M241="5"),ROW($M$3:M241))),IF(COUNTIF($M$3:M241,"6")=0,10^9,LOOKUP(2,1/($M$3:M241="6"),ROW($M$3:M241))),IF(COUNTIF($M$3:M241,"7")=0,10^9,LOOKUP(2,1/($M$3:M241="7"),ROW($M$3:M241))),IF(COUNTIF($M$3:M241,"8")=0,10^9,LOOKUP(2,1/($M$3:M241="8"),ROW($M$3:M241))),IF(COUNTIF($M$3:M241,"9")=0,10^9,LOOKUP(2,1/($M$3:M241="9"),ROW($M$3:M241))))-ROW($M$3)+1),"")),AND(N242&lt;&gt;"",N242=IFERROR(INDEX($N$3:N241,MIN(IF(COUNTIF($N$3:N241,"鼠")=0,10^9,LOOKUP(2,1/($N$3:N241="鼠"),ROW($N$3:N241))),IF(COUNTIF($N$3:N241,"牛")=0,10^9,LOOKUP(2,1/($N$3:N241="牛"),ROW($N$3:N241))),IF(COUNTIF($N$3:N241,"虎")=0,10^9,LOOKUP(2,1/($N$3:N241="虎"),ROW($N$3:N241))),IF(COUNTIF($N$3:N241,"兔")=0,10^9,LOOKUP(2,1/($N$3:N241="兔"),ROW($N$3:N241))),IF(COUNTIF($N$3:N241,"龙")=0,10^9,LOOKUP(2,1/($N$3:N241="龙"),ROW($N$3:N241))),IF(COUNTIF($N$3:N241,"蛇")=0,10^9,LOOKUP(2,1/($N$3:N241="蛇"),ROW($N$3:N241))),IF(COUNTIF($N$3:N241,"马")=0,10^9,LOOKUP(2,1/($N$3:N241="马"),ROW($N$3:N241))),IF(COUNTIF($N$3:N241,"羊")=0,10^9,LOOKUP(2,1/($N$3:N241="羊"),ROW($N$3:N241))),IF(COUNTIF($N$3:N241,"猴")=0,10^9,LOOKUP(2,1/($N$3:N241="猴"),ROW($N$3:N241))),IF(COUNTIF($N$3:N241,"鸡")=0,10^9,LOOKUP(2,1/($N$3:N241="鸡"),ROW($N$3:N241))),IF(COUNTIF($N$3:N241,"狗")=0,10^9,LOOKUP(2,1/($N$3:N241="狗"),ROW($N$3:N241))),IF(COUNTIF($N$3:N241,"猪")=0,10^9,LOOKUP(2,1/($N$3:N241="猪"),ROW($N$3:N241))))-ROW($N$3)+1),""))),0,IF(ISNUMBER(J241),J241+1,1)))</f>
        <v/>
      </c>
      <c r="K242" s="5" t="e">
        <f t="shared" si="24"/>
        <v>#N/A</v>
      </c>
      <c r="M242" s="6" t="str">
        <f t="shared" si="20"/>
        <v/>
      </c>
      <c r="N242" s="2" t="e">
        <f t="shared" si="21"/>
        <v>#N/A</v>
      </c>
      <c r="O242" s="7" t="str">
        <f>IF(M242="","",IF(COUNTIF(M243:$M$1000,M242)&gt;0,"",M242))</f>
        <v/>
      </c>
      <c r="P242" s="8" t="e">
        <f>IF(N242="","",IF(COUNTIF(N243:$N$1000,N242)&gt;0,"",N242))</f>
        <v>#N/A</v>
      </c>
      <c r="Q242" s="21" t="e">
        <f t="shared" si="22"/>
        <v>#NUM!</v>
      </c>
      <c r="R242" s="22" t="e">
        <f t="shared" si="23"/>
        <v>#NUM!</v>
      </c>
      <c r="S242" s="11"/>
      <c r="T242" s="11"/>
      <c r="U242" s="11"/>
      <c r="W242" s="11"/>
      <c r="X242" s="2"/>
      <c r="Y242" s="2"/>
    </row>
    <row r="243" s="1" customFormat="1" spans="1:25">
      <c r="A243" s="2">
        <v>115056878</v>
      </c>
      <c r="B243" s="2"/>
      <c r="C243" s="2"/>
      <c r="D243" s="2"/>
      <c r="E243" s="2"/>
      <c r="F243" s="2"/>
      <c r="G243" s="2"/>
      <c r="H243" s="3"/>
      <c r="I243" s="2" t="e">
        <f t="shared" si="19"/>
        <v>#N/A</v>
      </c>
      <c r="J243" s="4" t="str">
        <f>IF(H243="","",IF(OR(AND(M243&lt;&gt;"",M243=IFERROR(INDEX($M$3:M242,MIN(IF(COUNTIF($M$3:M242,"0")=0,10^9,LOOKUP(2,1/($M$3:M242="0"),ROW($M$3:M242))),IF(COUNTIF($M$3:M242,"1")=0,10^9,LOOKUP(2,1/($M$3:M242="1"),ROW($M$3:M242))),IF(COUNTIF($M$3:M242,"2")=0,10^9,LOOKUP(2,1/($M$3:M242="2"),ROW($M$3:M242))),IF(COUNTIF($M$3:M242,"3")=0,10^9,LOOKUP(2,1/($M$3:M242="3"),ROW($M$3:M242))),IF(COUNTIF($M$3:M242,"4")=0,10^9,LOOKUP(2,1/($M$3:M242="4"),ROW($M$3:M242))),IF(COUNTIF($M$3:M242,"5")=0,10^9,LOOKUP(2,1/($M$3:M242="5"),ROW($M$3:M242))),IF(COUNTIF($M$3:M242,"6")=0,10^9,LOOKUP(2,1/($M$3:M242="6"),ROW($M$3:M242))),IF(COUNTIF($M$3:M242,"7")=0,10^9,LOOKUP(2,1/($M$3:M242="7"),ROW($M$3:M242))),IF(COUNTIF($M$3:M242,"8")=0,10^9,LOOKUP(2,1/($M$3:M242="8"),ROW($M$3:M242))),IF(COUNTIF($M$3:M242,"9")=0,10^9,LOOKUP(2,1/($M$3:M242="9"),ROW($M$3:M242))))-ROW($M$3)+1),"")),AND(N243&lt;&gt;"",N243=IFERROR(INDEX($N$3:N242,MIN(IF(COUNTIF($N$3:N242,"鼠")=0,10^9,LOOKUP(2,1/($N$3:N242="鼠"),ROW($N$3:N242))),IF(COUNTIF($N$3:N242,"牛")=0,10^9,LOOKUP(2,1/($N$3:N242="牛"),ROW($N$3:N242))),IF(COUNTIF($N$3:N242,"虎")=0,10^9,LOOKUP(2,1/($N$3:N242="虎"),ROW($N$3:N242))),IF(COUNTIF($N$3:N242,"兔")=0,10^9,LOOKUP(2,1/($N$3:N242="兔"),ROW($N$3:N242))),IF(COUNTIF($N$3:N242,"龙")=0,10^9,LOOKUP(2,1/($N$3:N242="龙"),ROW($N$3:N242))),IF(COUNTIF($N$3:N242,"蛇")=0,10^9,LOOKUP(2,1/($N$3:N242="蛇"),ROW($N$3:N242))),IF(COUNTIF($N$3:N242,"马")=0,10^9,LOOKUP(2,1/($N$3:N242="马"),ROW($N$3:N242))),IF(COUNTIF($N$3:N242,"羊")=0,10^9,LOOKUP(2,1/($N$3:N242="羊"),ROW($N$3:N242))),IF(COUNTIF($N$3:N242,"猴")=0,10^9,LOOKUP(2,1/($N$3:N242="猴"),ROW($N$3:N242))),IF(COUNTIF($N$3:N242,"鸡")=0,10^9,LOOKUP(2,1/($N$3:N242="鸡"),ROW($N$3:N242))),IF(COUNTIF($N$3:N242,"狗")=0,10^9,LOOKUP(2,1/($N$3:N242="狗"),ROW($N$3:N242))),IF(COUNTIF($N$3:N242,"猪")=0,10^9,LOOKUP(2,1/($N$3:N242="猪"),ROW($N$3:N242))))-ROW($N$3)+1),""))),0,IF(ISNUMBER(J242),J242+1,1)))</f>
        <v/>
      </c>
      <c r="K243" s="5" t="e">
        <f t="shared" si="24"/>
        <v>#N/A</v>
      </c>
      <c r="M243" s="6" t="str">
        <f t="shared" si="20"/>
        <v/>
      </c>
      <c r="N243" s="2" t="e">
        <f t="shared" si="21"/>
        <v>#N/A</v>
      </c>
      <c r="O243" s="7" t="str">
        <f>IF(M243="","",IF(COUNTIF(M244:$M$1000,M243)&gt;0,"",M243))</f>
        <v/>
      </c>
      <c r="P243" s="8" t="e">
        <f>IF(N243="","",IF(COUNTIF(N244:$N$1000,N243)&gt;0,"",N243))</f>
        <v>#N/A</v>
      </c>
      <c r="Q243" s="21" t="e">
        <f t="shared" si="22"/>
        <v>#NUM!</v>
      </c>
      <c r="R243" s="22" t="e">
        <f t="shared" si="23"/>
        <v>#NUM!</v>
      </c>
      <c r="S243" s="11"/>
      <c r="T243" s="11"/>
      <c r="U243" s="11"/>
      <c r="W243" s="11"/>
      <c r="X243" s="2"/>
      <c r="Y243" s="2"/>
    </row>
    <row r="244" s="1" customFormat="1" spans="1:25">
      <c r="A244" s="2">
        <v>115056879</v>
      </c>
      <c r="B244" s="2"/>
      <c r="C244" s="2"/>
      <c r="D244" s="2"/>
      <c r="E244" s="2"/>
      <c r="F244" s="2"/>
      <c r="G244" s="2"/>
      <c r="H244" s="3"/>
      <c r="I244" s="2" t="e">
        <f t="shared" si="19"/>
        <v>#N/A</v>
      </c>
      <c r="J244" s="4" t="str">
        <f>IF(H244="","",IF(OR(AND(M244&lt;&gt;"",M244=IFERROR(INDEX($M$3:M243,MIN(IF(COUNTIF($M$3:M243,"0")=0,10^9,LOOKUP(2,1/($M$3:M243="0"),ROW($M$3:M243))),IF(COUNTIF($M$3:M243,"1")=0,10^9,LOOKUP(2,1/($M$3:M243="1"),ROW($M$3:M243))),IF(COUNTIF($M$3:M243,"2")=0,10^9,LOOKUP(2,1/($M$3:M243="2"),ROW($M$3:M243))),IF(COUNTIF($M$3:M243,"3")=0,10^9,LOOKUP(2,1/($M$3:M243="3"),ROW($M$3:M243))),IF(COUNTIF($M$3:M243,"4")=0,10^9,LOOKUP(2,1/($M$3:M243="4"),ROW($M$3:M243))),IF(COUNTIF($M$3:M243,"5")=0,10^9,LOOKUP(2,1/($M$3:M243="5"),ROW($M$3:M243))),IF(COUNTIF($M$3:M243,"6")=0,10^9,LOOKUP(2,1/($M$3:M243="6"),ROW($M$3:M243))),IF(COUNTIF($M$3:M243,"7")=0,10^9,LOOKUP(2,1/($M$3:M243="7"),ROW($M$3:M243))),IF(COUNTIF($M$3:M243,"8")=0,10^9,LOOKUP(2,1/($M$3:M243="8"),ROW($M$3:M243))),IF(COUNTIF($M$3:M243,"9")=0,10^9,LOOKUP(2,1/($M$3:M243="9"),ROW($M$3:M243))))-ROW($M$3)+1),"")),AND(N244&lt;&gt;"",N244=IFERROR(INDEX($N$3:N243,MIN(IF(COUNTIF($N$3:N243,"鼠")=0,10^9,LOOKUP(2,1/($N$3:N243="鼠"),ROW($N$3:N243))),IF(COUNTIF($N$3:N243,"牛")=0,10^9,LOOKUP(2,1/($N$3:N243="牛"),ROW($N$3:N243))),IF(COUNTIF($N$3:N243,"虎")=0,10^9,LOOKUP(2,1/($N$3:N243="虎"),ROW($N$3:N243))),IF(COUNTIF($N$3:N243,"兔")=0,10^9,LOOKUP(2,1/($N$3:N243="兔"),ROW($N$3:N243))),IF(COUNTIF($N$3:N243,"龙")=0,10^9,LOOKUP(2,1/($N$3:N243="龙"),ROW($N$3:N243))),IF(COUNTIF($N$3:N243,"蛇")=0,10^9,LOOKUP(2,1/($N$3:N243="蛇"),ROW($N$3:N243))),IF(COUNTIF($N$3:N243,"马")=0,10^9,LOOKUP(2,1/($N$3:N243="马"),ROW($N$3:N243))),IF(COUNTIF($N$3:N243,"羊")=0,10^9,LOOKUP(2,1/($N$3:N243="羊"),ROW($N$3:N243))),IF(COUNTIF($N$3:N243,"猴")=0,10^9,LOOKUP(2,1/($N$3:N243="猴"),ROW($N$3:N243))),IF(COUNTIF($N$3:N243,"鸡")=0,10^9,LOOKUP(2,1/($N$3:N243="鸡"),ROW($N$3:N243))),IF(COUNTIF($N$3:N243,"狗")=0,10^9,LOOKUP(2,1/($N$3:N243="狗"),ROW($N$3:N243))),IF(COUNTIF($N$3:N243,"猪")=0,10^9,LOOKUP(2,1/($N$3:N243="猪"),ROW($N$3:N243))))-ROW($N$3)+1),""))),0,IF(ISNUMBER(J243),J243+1,1)))</f>
        <v/>
      </c>
      <c r="K244" s="5" t="e">
        <f t="shared" si="24"/>
        <v>#N/A</v>
      </c>
      <c r="M244" s="6" t="str">
        <f t="shared" si="20"/>
        <v/>
      </c>
      <c r="N244" s="2" t="e">
        <f t="shared" si="21"/>
        <v>#N/A</v>
      </c>
      <c r="O244" s="7" t="str">
        <f>IF(M244="","",IF(COUNTIF(M245:$M$1000,M244)&gt;0,"",M244))</f>
        <v/>
      </c>
      <c r="P244" s="8" t="e">
        <f>IF(N244="","",IF(COUNTIF(N245:$N$1000,N244)&gt;0,"",N244))</f>
        <v>#N/A</v>
      </c>
      <c r="Q244" s="21" t="e">
        <f t="shared" si="22"/>
        <v>#NUM!</v>
      </c>
      <c r="R244" s="22" t="e">
        <f t="shared" si="23"/>
        <v>#NUM!</v>
      </c>
      <c r="S244" s="11"/>
      <c r="T244" s="11"/>
      <c r="U244" s="11"/>
      <c r="W244" s="11"/>
      <c r="X244" s="2"/>
      <c r="Y244" s="2"/>
    </row>
    <row r="245" s="1" customFormat="1" spans="1:25">
      <c r="A245" s="2">
        <v>115056880</v>
      </c>
      <c r="B245" s="2"/>
      <c r="C245" s="2"/>
      <c r="D245" s="2"/>
      <c r="E245" s="2"/>
      <c r="F245" s="2"/>
      <c r="G245" s="2"/>
      <c r="H245" s="3"/>
      <c r="I245" s="2" t="e">
        <f t="shared" si="19"/>
        <v>#N/A</v>
      </c>
      <c r="J245" s="4" t="str">
        <f>IF(H245="","",IF(OR(AND(M245&lt;&gt;"",M245=IFERROR(INDEX($M$3:M244,MIN(IF(COUNTIF($M$3:M244,"0")=0,10^9,LOOKUP(2,1/($M$3:M244="0"),ROW($M$3:M244))),IF(COUNTIF($M$3:M244,"1")=0,10^9,LOOKUP(2,1/($M$3:M244="1"),ROW($M$3:M244))),IF(COUNTIF($M$3:M244,"2")=0,10^9,LOOKUP(2,1/($M$3:M244="2"),ROW($M$3:M244))),IF(COUNTIF($M$3:M244,"3")=0,10^9,LOOKUP(2,1/($M$3:M244="3"),ROW($M$3:M244))),IF(COUNTIF($M$3:M244,"4")=0,10^9,LOOKUP(2,1/($M$3:M244="4"),ROW($M$3:M244))),IF(COUNTIF($M$3:M244,"5")=0,10^9,LOOKUP(2,1/($M$3:M244="5"),ROW($M$3:M244))),IF(COUNTIF($M$3:M244,"6")=0,10^9,LOOKUP(2,1/($M$3:M244="6"),ROW($M$3:M244))),IF(COUNTIF($M$3:M244,"7")=0,10^9,LOOKUP(2,1/($M$3:M244="7"),ROW($M$3:M244))),IF(COUNTIF($M$3:M244,"8")=0,10^9,LOOKUP(2,1/($M$3:M244="8"),ROW($M$3:M244))),IF(COUNTIF($M$3:M244,"9")=0,10^9,LOOKUP(2,1/($M$3:M244="9"),ROW($M$3:M244))))-ROW($M$3)+1),"")),AND(N245&lt;&gt;"",N245=IFERROR(INDEX($N$3:N244,MIN(IF(COUNTIF($N$3:N244,"鼠")=0,10^9,LOOKUP(2,1/($N$3:N244="鼠"),ROW($N$3:N244))),IF(COUNTIF($N$3:N244,"牛")=0,10^9,LOOKUP(2,1/($N$3:N244="牛"),ROW($N$3:N244))),IF(COUNTIF($N$3:N244,"虎")=0,10^9,LOOKUP(2,1/($N$3:N244="虎"),ROW($N$3:N244))),IF(COUNTIF($N$3:N244,"兔")=0,10^9,LOOKUP(2,1/($N$3:N244="兔"),ROW($N$3:N244))),IF(COUNTIF($N$3:N244,"龙")=0,10^9,LOOKUP(2,1/($N$3:N244="龙"),ROW($N$3:N244))),IF(COUNTIF($N$3:N244,"蛇")=0,10^9,LOOKUP(2,1/($N$3:N244="蛇"),ROW($N$3:N244))),IF(COUNTIF($N$3:N244,"马")=0,10^9,LOOKUP(2,1/($N$3:N244="马"),ROW($N$3:N244))),IF(COUNTIF($N$3:N244,"羊")=0,10^9,LOOKUP(2,1/($N$3:N244="羊"),ROW($N$3:N244))),IF(COUNTIF($N$3:N244,"猴")=0,10^9,LOOKUP(2,1/($N$3:N244="猴"),ROW($N$3:N244))),IF(COUNTIF($N$3:N244,"鸡")=0,10^9,LOOKUP(2,1/($N$3:N244="鸡"),ROW($N$3:N244))),IF(COUNTIF($N$3:N244,"狗")=0,10^9,LOOKUP(2,1/($N$3:N244="狗"),ROW($N$3:N244))),IF(COUNTIF($N$3:N244,"猪")=0,10^9,LOOKUP(2,1/($N$3:N244="猪"),ROW($N$3:N244))))-ROW($N$3)+1),""))),0,IF(ISNUMBER(J244),J244+1,1)))</f>
        <v/>
      </c>
      <c r="K245" s="5" t="e">
        <f t="shared" si="24"/>
        <v>#N/A</v>
      </c>
      <c r="M245" s="6" t="str">
        <f t="shared" si="20"/>
        <v/>
      </c>
      <c r="N245" s="2" t="e">
        <f t="shared" si="21"/>
        <v>#N/A</v>
      </c>
      <c r="O245" s="7" t="str">
        <f>IF(M245="","",IF(COUNTIF(M246:$M$1000,M245)&gt;0,"",M245))</f>
        <v/>
      </c>
      <c r="P245" s="8" t="e">
        <f>IF(N245="","",IF(COUNTIF(N246:$N$1000,N245)&gt;0,"",N245))</f>
        <v>#N/A</v>
      </c>
      <c r="Q245" s="21" t="e">
        <f t="shared" si="22"/>
        <v>#NUM!</v>
      </c>
      <c r="R245" s="22" t="e">
        <f t="shared" si="23"/>
        <v>#NUM!</v>
      </c>
      <c r="S245" s="11"/>
      <c r="T245" s="11"/>
      <c r="U245" s="11"/>
      <c r="W245" s="11"/>
      <c r="X245" s="2"/>
      <c r="Y245" s="2"/>
    </row>
    <row r="246" s="1" customFormat="1" spans="1:25">
      <c r="A246" s="2">
        <v>115056881</v>
      </c>
      <c r="B246" s="2"/>
      <c r="C246" s="2"/>
      <c r="D246" s="2"/>
      <c r="E246" s="2"/>
      <c r="F246" s="2"/>
      <c r="G246" s="2"/>
      <c r="H246" s="3"/>
      <c r="I246" s="2" t="e">
        <f t="shared" si="19"/>
        <v>#N/A</v>
      </c>
      <c r="J246" s="4" t="str">
        <f>IF(H246="","",IF(OR(AND(M246&lt;&gt;"",M246=IFERROR(INDEX($M$3:M245,MIN(IF(COUNTIF($M$3:M245,"0")=0,10^9,LOOKUP(2,1/($M$3:M245="0"),ROW($M$3:M245))),IF(COUNTIF($M$3:M245,"1")=0,10^9,LOOKUP(2,1/($M$3:M245="1"),ROW($M$3:M245))),IF(COUNTIF($M$3:M245,"2")=0,10^9,LOOKUP(2,1/($M$3:M245="2"),ROW($M$3:M245))),IF(COUNTIF($M$3:M245,"3")=0,10^9,LOOKUP(2,1/($M$3:M245="3"),ROW($M$3:M245))),IF(COUNTIF($M$3:M245,"4")=0,10^9,LOOKUP(2,1/($M$3:M245="4"),ROW($M$3:M245))),IF(COUNTIF($M$3:M245,"5")=0,10^9,LOOKUP(2,1/($M$3:M245="5"),ROW($M$3:M245))),IF(COUNTIF($M$3:M245,"6")=0,10^9,LOOKUP(2,1/($M$3:M245="6"),ROW($M$3:M245))),IF(COUNTIF($M$3:M245,"7")=0,10^9,LOOKUP(2,1/($M$3:M245="7"),ROW($M$3:M245))),IF(COUNTIF($M$3:M245,"8")=0,10^9,LOOKUP(2,1/($M$3:M245="8"),ROW($M$3:M245))),IF(COUNTIF($M$3:M245,"9")=0,10^9,LOOKUP(2,1/($M$3:M245="9"),ROW($M$3:M245))))-ROW($M$3)+1),"")),AND(N246&lt;&gt;"",N246=IFERROR(INDEX($N$3:N245,MIN(IF(COUNTIF($N$3:N245,"鼠")=0,10^9,LOOKUP(2,1/($N$3:N245="鼠"),ROW($N$3:N245))),IF(COUNTIF($N$3:N245,"牛")=0,10^9,LOOKUP(2,1/($N$3:N245="牛"),ROW($N$3:N245))),IF(COUNTIF($N$3:N245,"虎")=0,10^9,LOOKUP(2,1/($N$3:N245="虎"),ROW($N$3:N245))),IF(COUNTIF($N$3:N245,"兔")=0,10^9,LOOKUP(2,1/($N$3:N245="兔"),ROW($N$3:N245))),IF(COUNTIF($N$3:N245,"龙")=0,10^9,LOOKUP(2,1/($N$3:N245="龙"),ROW($N$3:N245))),IF(COUNTIF($N$3:N245,"蛇")=0,10^9,LOOKUP(2,1/($N$3:N245="蛇"),ROW($N$3:N245))),IF(COUNTIF($N$3:N245,"马")=0,10^9,LOOKUP(2,1/($N$3:N245="马"),ROW($N$3:N245))),IF(COUNTIF($N$3:N245,"羊")=0,10^9,LOOKUP(2,1/($N$3:N245="羊"),ROW($N$3:N245))),IF(COUNTIF($N$3:N245,"猴")=0,10^9,LOOKUP(2,1/($N$3:N245="猴"),ROW($N$3:N245))),IF(COUNTIF($N$3:N245,"鸡")=0,10^9,LOOKUP(2,1/($N$3:N245="鸡"),ROW($N$3:N245))),IF(COUNTIF($N$3:N245,"狗")=0,10^9,LOOKUP(2,1/($N$3:N245="狗"),ROW($N$3:N245))),IF(COUNTIF($N$3:N245,"猪")=0,10^9,LOOKUP(2,1/($N$3:N245="猪"),ROW($N$3:N245))))-ROW($N$3)+1),""))),0,IF(ISNUMBER(J245),J245+1,1)))</f>
        <v/>
      </c>
      <c r="K246" s="5" t="e">
        <f t="shared" si="24"/>
        <v>#N/A</v>
      </c>
      <c r="M246" s="6" t="str">
        <f t="shared" si="20"/>
        <v/>
      </c>
      <c r="N246" s="2" t="e">
        <f t="shared" si="21"/>
        <v>#N/A</v>
      </c>
      <c r="O246" s="7" t="str">
        <f>IF(M246="","",IF(COUNTIF(M247:$M$1000,M246)&gt;0,"",M246))</f>
        <v/>
      </c>
      <c r="P246" s="8" t="e">
        <f>IF(N246="","",IF(COUNTIF(N247:$N$1000,N246)&gt;0,"",N246))</f>
        <v>#N/A</v>
      </c>
      <c r="Q246" s="21" t="e">
        <f t="shared" si="22"/>
        <v>#NUM!</v>
      </c>
      <c r="R246" s="22" t="e">
        <f t="shared" si="23"/>
        <v>#NUM!</v>
      </c>
      <c r="S246" s="11"/>
      <c r="T246" s="11"/>
      <c r="U246" s="11"/>
      <c r="W246" s="11"/>
      <c r="X246" s="2"/>
      <c r="Y246" s="2"/>
    </row>
    <row r="247" s="1" customFormat="1" spans="1:25">
      <c r="A247" s="2">
        <v>115056882</v>
      </c>
      <c r="B247" s="2"/>
      <c r="C247" s="2"/>
      <c r="D247" s="2"/>
      <c r="E247" s="2"/>
      <c r="F247" s="2"/>
      <c r="G247" s="2"/>
      <c r="H247" s="3"/>
      <c r="I247" s="2" t="e">
        <f t="shared" si="19"/>
        <v>#N/A</v>
      </c>
      <c r="J247" s="4" t="str">
        <f>IF(H247="","",IF(OR(AND(M247&lt;&gt;"",M247=IFERROR(INDEX($M$3:M246,MIN(IF(COUNTIF($M$3:M246,"0")=0,10^9,LOOKUP(2,1/($M$3:M246="0"),ROW($M$3:M246))),IF(COUNTIF($M$3:M246,"1")=0,10^9,LOOKUP(2,1/($M$3:M246="1"),ROW($M$3:M246))),IF(COUNTIF($M$3:M246,"2")=0,10^9,LOOKUP(2,1/($M$3:M246="2"),ROW($M$3:M246))),IF(COUNTIF($M$3:M246,"3")=0,10^9,LOOKUP(2,1/($M$3:M246="3"),ROW($M$3:M246))),IF(COUNTIF($M$3:M246,"4")=0,10^9,LOOKUP(2,1/($M$3:M246="4"),ROW($M$3:M246))),IF(COUNTIF($M$3:M246,"5")=0,10^9,LOOKUP(2,1/($M$3:M246="5"),ROW($M$3:M246))),IF(COUNTIF($M$3:M246,"6")=0,10^9,LOOKUP(2,1/($M$3:M246="6"),ROW($M$3:M246))),IF(COUNTIF($M$3:M246,"7")=0,10^9,LOOKUP(2,1/($M$3:M246="7"),ROW($M$3:M246))),IF(COUNTIF($M$3:M246,"8")=0,10^9,LOOKUP(2,1/($M$3:M246="8"),ROW($M$3:M246))),IF(COUNTIF($M$3:M246,"9")=0,10^9,LOOKUP(2,1/($M$3:M246="9"),ROW($M$3:M246))))-ROW($M$3)+1),"")),AND(N247&lt;&gt;"",N247=IFERROR(INDEX($N$3:N246,MIN(IF(COUNTIF($N$3:N246,"鼠")=0,10^9,LOOKUP(2,1/($N$3:N246="鼠"),ROW($N$3:N246))),IF(COUNTIF($N$3:N246,"牛")=0,10^9,LOOKUP(2,1/($N$3:N246="牛"),ROW($N$3:N246))),IF(COUNTIF($N$3:N246,"虎")=0,10^9,LOOKUP(2,1/($N$3:N246="虎"),ROW($N$3:N246))),IF(COUNTIF($N$3:N246,"兔")=0,10^9,LOOKUP(2,1/($N$3:N246="兔"),ROW($N$3:N246))),IF(COUNTIF($N$3:N246,"龙")=0,10^9,LOOKUP(2,1/($N$3:N246="龙"),ROW($N$3:N246))),IF(COUNTIF($N$3:N246,"蛇")=0,10^9,LOOKUP(2,1/($N$3:N246="蛇"),ROW($N$3:N246))),IF(COUNTIF($N$3:N246,"马")=0,10^9,LOOKUP(2,1/($N$3:N246="马"),ROW($N$3:N246))),IF(COUNTIF($N$3:N246,"羊")=0,10^9,LOOKUP(2,1/($N$3:N246="羊"),ROW($N$3:N246))),IF(COUNTIF($N$3:N246,"猴")=0,10^9,LOOKUP(2,1/($N$3:N246="猴"),ROW($N$3:N246))),IF(COUNTIF($N$3:N246,"鸡")=0,10^9,LOOKUP(2,1/($N$3:N246="鸡"),ROW($N$3:N246))),IF(COUNTIF($N$3:N246,"狗")=0,10^9,LOOKUP(2,1/($N$3:N246="狗"),ROW($N$3:N246))),IF(COUNTIF($N$3:N246,"猪")=0,10^9,LOOKUP(2,1/($N$3:N246="猪"),ROW($N$3:N246))))-ROW($N$3)+1),""))),0,IF(ISNUMBER(J246),J246+1,1)))</f>
        <v/>
      </c>
      <c r="K247" s="5" t="e">
        <f t="shared" si="24"/>
        <v>#N/A</v>
      </c>
      <c r="M247" s="6" t="str">
        <f t="shared" si="20"/>
        <v/>
      </c>
      <c r="N247" s="2" t="e">
        <f t="shared" si="21"/>
        <v>#N/A</v>
      </c>
      <c r="O247" s="7" t="str">
        <f>IF(M247="","",IF(COUNTIF(M248:$M$1000,M247)&gt;0,"",M247))</f>
        <v/>
      </c>
      <c r="P247" s="8" t="e">
        <f>IF(N247="","",IF(COUNTIF(N248:$N$1000,N247)&gt;0,"",N247))</f>
        <v>#N/A</v>
      </c>
      <c r="Q247" s="21" t="e">
        <f t="shared" si="22"/>
        <v>#NUM!</v>
      </c>
      <c r="R247" s="22" t="e">
        <f t="shared" si="23"/>
        <v>#NUM!</v>
      </c>
      <c r="S247" s="11"/>
      <c r="T247" s="11"/>
      <c r="U247" s="11"/>
      <c r="W247" s="11"/>
      <c r="X247" s="2"/>
      <c r="Y247" s="2"/>
    </row>
    <row r="248" s="1" customFormat="1" spans="1:25">
      <c r="A248" s="2">
        <v>115056883</v>
      </c>
      <c r="B248" s="2"/>
      <c r="C248" s="2"/>
      <c r="D248" s="2"/>
      <c r="E248" s="2"/>
      <c r="F248" s="2"/>
      <c r="G248" s="2"/>
      <c r="H248" s="3"/>
      <c r="I248" s="2" t="e">
        <f t="shared" si="19"/>
        <v>#N/A</v>
      </c>
      <c r="J248" s="4" t="str">
        <f>IF(H248="","",IF(OR(AND(M248&lt;&gt;"",M248=IFERROR(INDEX($M$3:M247,MIN(IF(COUNTIF($M$3:M247,"0")=0,10^9,LOOKUP(2,1/($M$3:M247="0"),ROW($M$3:M247))),IF(COUNTIF($M$3:M247,"1")=0,10^9,LOOKUP(2,1/($M$3:M247="1"),ROW($M$3:M247))),IF(COUNTIF($M$3:M247,"2")=0,10^9,LOOKUP(2,1/($M$3:M247="2"),ROW($M$3:M247))),IF(COUNTIF($M$3:M247,"3")=0,10^9,LOOKUP(2,1/($M$3:M247="3"),ROW($M$3:M247))),IF(COUNTIF($M$3:M247,"4")=0,10^9,LOOKUP(2,1/($M$3:M247="4"),ROW($M$3:M247))),IF(COUNTIF($M$3:M247,"5")=0,10^9,LOOKUP(2,1/($M$3:M247="5"),ROW($M$3:M247))),IF(COUNTIF($M$3:M247,"6")=0,10^9,LOOKUP(2,1/($M$3:M247="6"),ROW($M$3:M247))),IF(COUNTIF($M$3:M247,"7")=0,10^9,LOOKUP(2,1/($M$3:M247="7"),ROW($M$3:M247))),IF(COUNTIF($M$3:M247,"8")=0,10^9,LOOKUP(2,1/($M$3:M247="8"),ROW($M$3:M247))),IF(COUNTIF($M$3:M247,"9")=0,10^9,LOOKUP(2,1/($M$3:M247="9"),ROW($M$3:M247))))-ROW($M$3)+1),"")),AND(N248&lt;&gt;"",N248=IFERROR(INDEX($N$3:N247,MIN(IF(COUNTIF($N$3:N247,"鼠")=0,10^9,LOOKUP(2,1/($N$3:N247="鼠"),ROW($N$3:N247))),IF(COUNTIF($N$3:N247,"牛")=0,10^9,LOOKUP(2,1/($N$3:N247="牛"),ROW($N$3:N247))),IF(COUNTIF($N$3:N247,"虎")=0,10^9,LOOKUP(2,1/($N$3:N247="虎"),ROW($N$3:N247))),IF(COUNTIF($N$3:N247,"兔")=0,10^9,LOOKUP(2,1/($N$3:N247="兔"),ROW($N$3:N247))),IF(COUNTIF($N$3:N247,"龙")=0,10^9,LOOKUP(2,1/($N$3:N247="龙"),ROW($N$3:N247))),IF(COUNTIF($N$3:N247,"蛇")=0,10^9,LOOKUP(2,1/($N$3:N247="蛇"),ROW($N$3:N247))),IF(COUNTIF($N$3:N247,"马")=0,10^9,LOOKUP(2,1/($N$3:N247="马"),ROW($N$3:N247))),IF(COUNTIF($N$3:N247,"羊")=0,10^9,LOOKUP(2,1/($N$3:N247="羊"),ROW($N$3:N247))),IF(COUNTIF($N$3:N247,"猴")=0,10^9,LOOKUP(2,1/($N$3:N247="猴"),ROW($N$3:N247))),IF(COUNTIF($N$3:N247,"鸡")=0,10^9,LOOKUP(2,1/($N$3:N247="鸡"),ROW($N$3:N247))),IF(COUNTIF($N$3:N247,"狗")=0,10^9,LOOKUP(2,1/($N$3:N247="狗"),ROW($N$3:N247))),IF(COUNTIF($N$3:N247,"猪")=0,10^9,LOOKUP(2,1/($N$3:N247="猪"),ROW($N$3:N247))))-ROW($N$3)+1),""))),0,IF(ISNUMBER(J247),J247+1,1)))</f>
        <v/>
      </c>
      <c r="K248" s="5" t="e">
        <f t="shared" si="24"/>
        <v>#N/A</v>
      </c>
      <c r="M248" s="6" t="str">
        <f t="shared" si="20"/>
        <v/>
      </c>
      <c r="N248" s="2" t="e">
        <f t="shared" si="21"/>
        <v>#N/A</v>
      </c>
      <c r="O248" s="7" t="str">
        <f>IF(M248="","",IF(COUNTIF(M249:$M$1000,M248)&gt;0,"",M248))</f>
        <v/>
      </c>
      <c r="P248" s="8" t="e">
        <f>IF(N248="","",IF(COUNTIF(N249:$N$1000,N248)&gt;0,"",N248))</f>
        <v>#N/A</v>
      </c>
      <c r="Q248" s="21" t="e">
        <f t="shared" si="22"/>
        <v>#NUM!</v>
      </c>
      <c r="R248" s="22" t="e">
        <f t="shared" si="23"/>
        <v>#NUM!</v>
      </c>
      <c r="S248" s="11"/>
      <c r="T248" s="11"/>
      <c r="U248" s="11"/>
      <c r="W248" s="11"/>
      <c r="X248" s="2"/>
      <c r="Y248" s="2"/>
    </row>
    <row r="249" s="1" customFormat="1" spans="1:25">
      <c r="A249" s="2">
        <v>115056884</v>
      </c>
      <c r="B249" s="2"/>
      <c r="C249" s="2"/>
      <c r="D249" s="2"/>
      <c r="E249" s="2"/>
      <c r="F249" s="2"/>
      <c r="G249" s="2"/>
      <c r="H249" s="3"/>
      <c r="I249" s="2" t="e">
        <f t="shared" si="19"/>
        <v>#N/A</v>
      </c>
      <c r="J249" s="4" t="str">
        <f>IF(H249="","",IF(OR(AND(M249&lt;&gt;"",M249=IFERROR(INDEX($M$3:M248,MIN(IF(COUNTIF($M$3:M248,"0")=0,10^9,LOOKUP(2,1/($M$3:M248="0"),ROW($M$3:M248))),IF(COUNTIF($M$3:M248,"1")=0,10^9,LOOKUP(2,1/($M$3:M248="1"),ROW($M$3:M248))),IF(COUNTIF($M$3:M248,"2")=0,10^9,LOOKUP(2,1/($M$3:M248="2"),ROW($M$3:M248))),IF(COUNTIF($M$3:M248,"3")=0,10^9,LOOKUP(2,1/($M$3:M248="3"),ROW($M$3:M248))),IF(COUNTIF($M$3:M248,"4")=0,10^9,LOOKUP(2,1/($M$3:M248="4"),ROW($M$3:M248))),IF(COUNTIF($M$3:M248,"5")=0,10^9,LOOKUP(2,1/($M$3:M248="5"),ROW($M$3:M248))),IF(COUNTIF($M$3:M248,"6")=0,10^9,LOOKUP(2,1/($M$3:M248="6"),ROW($M$3:M248))),IF(COUNTIF($M$3:M248,"7")=0,10^9,LOOKUP(2,1/($M$3:M248="7"),ROW($M$3:M248))),IF(COUNTIF($M$3:M248,"8")=0,10^9,LOOKUP(2,1/($M$3:M248="8"),ROW($M$3:M248))),IF(COUNTIF($M$3:M248,"9")=0,10^9,LOOKUP(2,1/($M$3:M248="9"),ROW($M$3:M248))))-ROW($M$3)+1),"")),AND(N249&lt;&gt;"",N249=IFERROR(INDEX($N$3:N248,MIN(IF(COUNTIF($N$3:N248,"鼠")=0,10^9,LOOKUP(2,1/($N$3:N248="鼠"),ROW($N$3:N248))),IF(COUNTIF($N$3:N248,"牛")=0,10^9,LOOKUP(2,1/($N$3:N248="牛"),ROW($N$3:N248))),IF(COUNTIF($N$3:N248,"虎")=0,10^9,LOOKUP(2,1/($N$3:N248="虎"),ROW($N$3:N248))),IF(COUNTIF($N$3:N248,"兔")=0,10^9,LOOKUP(2,1/($N$3:N248="兔"),ROW($N$3:N248))),IF(COUNTIF($N$3:N248,"龙")=0,10^9,LOOKUP(2,1/($N$3:N248="龙"),ROW($N$3:N248))),IF(COUNTIF($N$3:N248,"蛇")=0,10^9,LOOKUP(2,1/($N$3:N248="蛇"),ROW($N$3:N248))),IF(COUNTIF($N$3:N248,"马")=0,10^9,LOOKUP(2,1/($N$3:N248="马"),ROW($N$3:N248))),IF(COUNTIF($N$3:N248,"羊")=0,10^9,LOOKUP(2,1/($N$3:N248="羊"),ROW($N$3:N248))),IF(COUNTIF($N$3:N248,"猴")=0,10^9,LOOKUP(2,1/($N$3:N248="猴"),ROW($N$3:N248))),IF(COUNTIF($N$3:N248,"鸡")=0,10^9,LOOKUP(2,1/($N$3:N248="鸡"),ROW($N$3:N248))),IF(COUNTIF($N$3:N248,"狗")=0,10^9,LOOKUP(2,1/($N$3:N248="狗"),ROW($N$3:N248))),IF(COUNTIF($N$3:N248,"猪")=0,10^9,LOOKUP(2,1/($N$3:N248="猪"),ROW($N$3:N248))))-ROW($N$3)+1),""))),0,IF(ISNUMBER(J248),J248+1,1)))</f>
        <v/>
      </c>
      <c r="K249" s="5" t="e">
        <f t="shared" si="24"/>
        <v>#N/A</v>
      </c>
      <c r="M249" s="6" t="str">
        <f t="shared" si="20"/>
        <v/>
      </c>
      <c r="N249" s="2" t="e">
        <f t="shared" si="21"/>
        <v>#N/A</v>
      </c>
      <c r="O249" s="7" t="str">
        <f>IF(M249="","",IF(COUNTIF(M250:$M$1000,M249)&gt;0,"",M249))</f>
        <v/>
      </c>
      <c r="P249" s="8" t="e">
        <f>IF(N249="","",IF(COUNTIF(N250:$N$1000,N249)&gt;0,"",N249))</f>
        <v>#N/A</v>
      </c>
      <c r="Q249" s="21" t="e">
        <f t="shared" si="22"/>
        <v>#NUM!</v>
      </c>
      <c r="R249" s="22" t="e">
        <f t="shared" si="23"/>
        <v>#NUM!</v>
      </c>
      <c r="S249" s="11"/>
      <c r="T249" s="11"/>
      <c r="U249" s="11"/>
      <c r="W249" s="11"/>
      <c r="X249" s="2"/>
      <c r="Y249" s="2"/>
    </row>
    <row r="250" s="1" customFormat="1" spans="1:25">
      <c r="A250" s="2">
        <v>115056885</v>
      </c>
      <c r="B250" s="2"/>
      <c r="C250" s="2"/>
      <c r="D250" s="2"/>
      <c r="E250" s="2"/>
      <c r="F250" s="2"/>
      <c r="G250" s="2"/>
      <c r="H250" s="3"/>
      <c r="I250" s="2" t="e">
        <f t="shared" si="19"/>
        <v>#N/A</v>
      </c>
      <c r="J250" s="4" t="str">
        <f>IF(H250="","",IF(OR(AND(M250&lt;&gt;"",M250=IFERROR(INDEX($M$3:M249,MIN(IF(COUNTIF($M$3:M249,"0")=0,10^9,LOOKUP(2,1/($M$3:M249="0"),ROW($M$3:M249))),IF(COUNTIF($M$3:M249,"1")=0,10^9,LOOKUP(2,1/($M$3:M249="1"),ROW($M$3:M249))),IF(COUNTIF($M$3:M249,"2")=0,10^9,LOOKUP(2,1/($M$3:M249="2"),ROW($M$3:M249))),IF(COUNTIF($M$3:M249,"3")=0,10^9,LOOKUP(2,1/($M$3:M249="3"),ROW($M$3:M249))),IF(COUNTIF($M$3:M249,"4")=0,10^9,LOOKUP(2,1/($M$3:M249="4"),ROW($M$3:M249))),IF(COUNTIF($M$3:M249,"5")=0,10^9,LOOKUP(2,1/($M$3:M249="5"),ROW($M$3:M249))),IF(COUNTIF($M$3:M249,"6")=0,10^9,LOOKUP(2,1/($M$3:M249="6"),ROW($M$3:M249))),IF(COUNTIF($M$3:M249,"7")=0,10^9,LOOKUP(2,1/($M$3:M249="7"),ROW($M$3:M249))),IF(COUNTIF($M$3:M249,"8")=0,10^9,LOOKUP(2,1/($M$3:M249="8"),ROW($M$3:M249))),IF(COUNTIF($M$3:M249,"9")=0,10^9,LOOKUP(2,1/($M$3:M249="9"),ROW($M$3:M249))))-ROW($M$3)+1),"")),AND(N250&lt;&gt;"",N250=IFERROR(INDEX($N$3:N249,MIN(IF(COUNTIF($N$3:N249,"鼠")=0,10^9,LOOKUP(2,1/($N$3:N249="鼠"),ROW($N$3:N249))),IF(COUNTIF($N$3:N249,"牛")=0,10^9,LOOKUP(2,1/($N$3:N249="牛"),ROW($N$3:N249))),IF(COUNTIF($N$3:N249,"虎")=0,10^9,LOOKUP(2,1/($N$3:N249="虎"),ROW($N$3:N249))),IF(COUNTIF($N$3:N249,"兔")=0,10^9,LOOKUP(2,1/($N$3:N249="兔"),ROW($N$3:N249))),IF(COUNTIF($N$3:N249,"龙")=0,10^9,LOOKUP(2,1/($N$3:N249="龙"),ROW($N$3:N249))),IF(COUNTIF($N$3:N249,"蛇")=0,10^9,LOOKUP(2,1/($N$3:N249="蛇"),ROW($N$3:N249))),IF(COUNTIF($N$3:N249,"马")=0,10^9,LOOKUP(2,1/($N$3:N249="马"),ROW($N$3:N249))),IF(COUNTIF($N$3:N249,"羊")=0,10^9,LOOKUP(2,1/($N$3:N249="羊"),ROW($N$3:N249))),IF(COUNTIF($N$3:N249,"猴")=0,10^9,LOOKUP(2,1/($N$3:N249="猴"),ROW($N$3:N249))),IF(COUNTIF($N$3:N249,"鸡")=0,10^9,LOOKUP(2,1/($N$3:N249="鸡"),ROW($N$3:N249))),IF(COUNTIF($N$3:N249,"狗")=0,10^9,LOOKUP(2,1/($N$3:N249="狗"),ROW($N$3:N249))),IF(COUNTIF($N$3:N249,"猪")=0,10^9,LOOKUP(2,1/($N$3:N249="猪"),ROW($N$3:N249))))-ROW($N$3)+1),""))),0,IF(ISNUMBER(J249),J249+1,1)))</f>
        <v/>
      </c>
      <c r="K250" s="5" t="e">
        <f t="shared" si="24"/>
        <v>#N/A</v>
      </c>
      <c r="M250" s="6" t="str">
        <f t="shared" si="20"/>
        <v/>
      </c>
      <c r="N250" s="2" t="e">
        <f t="shared" si="21"/>
        <v>#N/A</v>
      </c>
      <c r="O250" s="7" t="str">
        <f>IF(M250="","",IF(COUNTIF(M251:$M$1000,M250)&gt;0,"",M250))</f>
        <v/>
      </c>
      <c r="P250" s="8" t="e">
        <f>IF(N250="","",IF(COUNTIF(N251:$N$1000,N250)&gt;0,"",N250))</f>
        <v>#N/A</v>
      </c>
      <c r="Q250" s="21" t="e">
        <f t="shared" si="22"/>
        <v>#NUM!</v>
      </c>
      <c r="R250" s="22" t="e">
        <f t="shared" si="23"/>
        <v>#NUM!</v>
      </c>
      <c r="S250" s="11"/>
      <c r="T250" s="11"/>
      <c r="U250" s="11"/>
      <c r="W250" s="11"/>
      <c r="X250" s="2"/>
      <c r="Y250" s="2"/>
    </row>
    <row r="251" s="1" customFormat="1" spans="1:25">
      <c r="A251" s="2">
        <v>115056886</v>
      </c>
      <c r="B251" s="2"/>
      <c r="C251" s="2"/>
      <c r="D251" s="2"/>
      <c r="E251" s="2"/>
      <c r="F251" s="2"/>
      <c r="G251" s="2"/>
      <c r="H251" s="3"/>
      <c r="I251" s="2" t="e">
        <f t="shared" si="19"/>
        <v>#N/A</v>
      </c>
      <c r="J251" s="4" t="str">
        <f>IF(H251="","",IF(OR(AND(M251&lt;&gt;"",M251=IFERROR(INDEX($M$3:M250,MIN(IF(COUNTIF($M$3:M250,"0")=0,10^9,LOOKUP(2,1/($M$3:M250="0"),ROW($M$3:M250))),IF(COUNTIF($M$3:M250,"1")=0,10^9,LOOKUP(2,1/($M$3:M250="1"),ROW($M$3:M250))),IF(COUNTIF($M$3:M250,"2")=0,10^9,LOOKUP(2,1/($M$3:M250="2"),ROW($M$3:M250))),IF(COUNTIF($M$3:M250,"3")=0,10^9,LOOKUP(2,1/($M$3:M250="3"),ROW($M$3:M250))),IF(COUNTIF($M$3:M250,"4")=0,10^9,LOOKUP(2,1/($M$3:M250="4"),ROW($M$3:M250))),IF(COUNTIF($M$3:M250,"5")=0,10^9,LOOKUP(2,1/($M$3:M250="5"),ROW($M$3:M250))),IF(COUNTIF($M$3:M250,"6")=0,10^9,LOOKUP(2,1/($M$3:M250="6"),ROW($M$3:M250))),IF(COUNTIF($M$3:M250,"7")=0,10^9,LOOKUP(2,1/($M$3:M250="7"),ROW($M$3:M250))),IF(COUNTIF($M$3:M250,"8")=0,10^9,LOOKUP(2,1/($M$3:M250="8"),ROW($M$3:M250))),IF(COUNTIF($M$3:M250,"9")=0,10^9,LOOKUP(2,1/($M$3:M250="9"),ROW($M$3:M250))))-ROW($M$3)+1),"")),AND(N251&lt;&gt;"",N251=IFERROR(INDEX($N$3:N250,MIN(IF(COUNTIF($N$3:N250,"鼠")=0,10^9,LOOKUP(2,1/($N$3:N250="鼠"),ROW($N$3:N250))),IF(COUNTIF($N$3:N250,"牛")=0,10^9,LOOKUP(2,1/($N$3:N250="牛"),ROW($N$3:N250))),IF(COUNTIF($N$3:N250,"虎")=0,10^9,LOOKUP(2,1/($N$3:N250="虎"),ROW($N$3:N250))),IF(COUNTIF($N$3:N250,"兔")=0,10^9,LOOKUP(2,1/($N$3:N250="兔"),ROW($N$3:N250))),IF(COUNTIF($N$3:N250,"龙")=0,10^9,LOOKUP(2,1/($N$3:N250="龙"),ROW($N$3:N250))),IF(COUNTIF($N$3:N250,"蛇")=0,10^9,LOOKUP(2,1/($N$3:N250="蛇"),ROW($N$3:N250))),IF(COUNTIF($N$3:N250,"马")=0,10^9,LOOKUP(2,1/($N$3:N250="马"),ROW($N$3:N250))),IF(COUNTIF($N$3:N250,"羊")=0,10^9,LOOKUP(2,1/($N$3:N250="羊"),ROW($N$3:N250))),IF(COUNTIF($N$3:N250,"猴")=0,10^9,LOOKUP(2,1/($N$3:N250="猴"),ROW($N$3:N250))),IF(COUNTIF($N$3:N250,"鸡")=0,10^9,LOOKUP(2,1/($N$3:N250="鸡"),ROW($N$3:N250))),IF(COUNTIF($N$3:N250,"狗")=0,10^9,LOOKUP(2,1/($N$3:N250="狗"),ROW($N$3:N250))),IF(COUNTIF($N$3:N250,"猪")=0,10^9,LOOKUP(2,1/($N$3:N250="猪"),ROW($N$3:N250))))-ROW($N$3)+1),""))),0,IF(ISNUMBER(J250),J250+1,1)))</f>
        <v/>
      </c>
      <c r="K251" s="5" t="e">
        <f t="shared" si="24"/>
        <v>#N/A</v>
      </c>
      <c r="M251" s="6" t="str">
        <f t="shared" si="20"/>
        <v/>
      </c>
      <c r="N251" s="2" t="e">
        <f t="shared" si="21"/>
        <v>#N/A</v>
      </c>
      <c r="O251" s="7" t="str">
        <f>IF(M251="","",IF(COUNTIF(M252:$M$1000,M251)&gt;0,"",M251))</f>
        <v/>
      </c>
      <c r="P251" s="8" t="e">
        <f>IF(N251="","",IF(COUNTIF(N252:$N$1000,N251)&gt;0,"",N251))</f>
        <v>#N/A</v>
      </c>
      <c r="Q251" s="21" t="e">
        <f t="shared" si="22"/>
        <v>#NUM!</v>
      </c>
      <c r="R251" s="22" t="e">
        <f t="shared" si="23"/>
        <v>#NUM!</v>
      </c>
      <c r="S251" s="11"/>
      <c r="T251" s="11"/>
      <c r="U251" s="11"/>
      <c r="W251" s="11"/>
      <c r="X251" s="2"/>
      <c r="Y251" s="2"/>
    </row>
    <row r="252" s="1" customFormat="1" spans="1:25">
      <c r="A252" s="2">
        <v>115056887</v>
      </c>
      <c r="B252" s="2"/>
      <c r="C252" s="2"/>
      <c r="D252" s="2"/>
      <c r="E252" s="2"/>
      <c r="F252" s="2"/>
      <c r="G252" s="2"/>
      <c r="H252" s="3"/>
      <c r="I252" s="2" t="e">
        <f t="shared" si="19"/>
        <v>#N/A</v>
      </c>
      <c r="J252" s="4" t="str">
        <f>IF(H252="","",IF(OR(AND(M252&lt;&gt;"",M252=IFERROR(INDEX($M$3:M251,MIN(IF(COUNTIF($M$3:M251,"0")=0,10^9,LOOKUP(2,1/($M$3:M251="0"),ROW($M$3:M251))),IF(COUNTIF($M$3:M251,"1")=0,10^9,LOOKUP(2,1/($M$3:M251="1"),ROW($M$3:M251))),IF(COUNTIF($M$3:M251,"2")=0,10^9,LOOKUP(2,1/($M$3:M251="2"),ROW($M$3:M251))),IF(COUNTIF($M$3:M251,"3")=0,10^9,LOOKUP(2,1/($M$3:M251="3"),ROW($M$3:M251))),IF(COUNTIF($M$3:M251,"4")=0,10^9,LOOKUP(2,1/($M$3:M251="4"),ROW($M$3:M251))),IF(COUNTIF($M$3:M251,"5")=0,10^9,LOOKUP(2,1/($M$3:M251="5"),ROW($M$3:M251))),IF(COUNTIF($M$3:M251,"6")=0,10^9,LOOKUP(2,1/($M$3:M251="6"),ROW($M$3:M251))),IF(COUNTIF($M$3:M251,"7")=0,10^9,LOOKUP(2,1/($M$3:M251="7"),ROW($M$3:M251))),IF(COUNTIF($M$3:M251,"8")=0,10^9,LOOKUP(2,1/($M$3:M251="8"),ROW($M$3:M251))),IF(COUNTIF($M$3:M251,"9")=0,10^9,LOOKUP(2,1/($M$3:M251="9"),ROW($M$3:M251))))-ROW($M$3)+1),"")),AND(N252&lt;&gt;"",N252=IFERROR(INDEX($N$3:N251,MIN(IF(COUNTIF($N$3:N251,"鼠")=0,10^9,LOOKUP(2,1/($N$3:N251="鼠"),ROW($N$3:N251))),IF(COUNTIF($N$3:N251,"牛")=0,10^9,LOOKUP(2,1/($N$3:N251="牛"),ROW($N$3:N251))),IF(COUNTIF($N$3:N251,"虎")=0,10^9,LOOKUP(2,1/($N$3:N251="虎"),ROW($N$3:N251))),IF(COUNTIF($N$3:N251,"兔")=0,10^9,LOOKUP(2,1/($N$3:N251="兔"),ROW($N$3:N251))),IF(COUNTIF($N$3:N251,"龙")=0,10^9,LOOKUP(2,1/($N$3:N251="龙"),ROW($N$3:N251))),IF(COUNTIF($N$3:N251,"蛇")=0,10^9,LOOKUP(2,1/($N$3:N251="蛇"),ROW($N$3:N251))),IF(COUNTIF($N$3:N251,"马")=0,10^9,LOOKUP(2,1/($N$3:N251="马"),ROW($N$3:N251))),IF(COUNTIF($N$3:N251,"羊")=0,10^9,LOOKUP(2,1/($N$3:N251="羊"),ROW($N$3:N251))),IF(COUNTIF($N$3:N251,"猴")=0,10^9,LOOKUP(2,1/($N$3:N251="猴"),ROW($N$3:N251))),IF(COUNTIF($N$3:N251,"鸡")=0,10^9,LOOKUP(2,1/($N$3:N251="鸡"),ROW($N$3:N251))),IF(COUNTIF($N$3:N251,"狗")=0,10^9,LOOKUP(2,1/($N$3:N251="狗"),ROW($N$3:N251))),IF(COUNTIF($N$3:N251,"猪")=0,10^9,LOOKUP(2,1/($N$3:N251="猪"),ROW($N$3:N251))))-ROW($N$3)+1),""))),0,IF(ISNUMBER(J251),J251+1,1)))</f>
        <v/>
      </c>
      <c r="K252" s="5" t="e">
        <f t="shared" si="24"/>
        <v>#N/A</v>
      </c>
      <c r="M252" s="6" t="str">
        <f t="shared" si="20"/>
        <v/>
      </c>
      <c r="N252" s="2" t="e">
        <f t="shared" si="21"/>
        <v>#N/A</v>
      </c>
      <c r="O252" s="7" t="str">
        <f>IF(M252="","",IF(COUNTIF(M253:$M$1000,M252)&gt;0,"",M252))</f>
        <v/>
      </c>
      <c r="P252" s="8" t="e">
        <f>IF(N252="","",IF(COUNTIF(N253:$N$1000,N252)&gt;0,"",N252))</f>
        <v>#N/A</v>
      </c>
      <c r="Q252" s="21" t="e">
        <f t="shared" si="22"/>
        <v>#NUM!</v>
      </c>
      <c r="R252" s="22" t="e">
        <f t="shared" si="23"/>
        <v>#NUM!</v>
      </c>
      <c r="S252" s="11"/>
      <c r="T252" s="11"/>
      <c r="U252" s="11"/>
      <c r="W252" s="11"/>
      <c r="X252" s="2"/>
      <c r="Y252" s="2"/>
    </row>
    <row r="253" s="1" customFormat="1" spans="1:25">
      <c r="A253" s="2">
        <v>115056888</v>
      </c>
      <c r="B253" s="2"/>
      <c r="C253" s="2"/>
      <c r="D253" s="2"/>
      <c r="E253" s="2"/>
      <c r="F253" s="2"/>
      <c r="G253" s="2"/>
      <c r="H253" s="3"/>
      <c r="I253" s="2" t="e">
        <f t="shared" si="19"/>
        <v>#N/A</v>
      </c>
      <c r="J253" s="4" t="str">
        <f>IF(H253="","",IF(OR(AND(M253&lt;&gt;"",M253=IFERROR(INDEX($M$3:M252,MIN(IF(COUNTIF($M$3:M252,"0")=0,10^9,LOOKUP(2,1/($M$3:M252="0"),ROW($M$3:M252))),IF(COUNTIF($M$3:M252,"1")=0,10^9,LOOKUP(2,1/($M$3:M252="1"),ROW($M$3:M252))),IF(COUNTIF($M$3:M252,"2")=0,10^9,LOOKUP(2,1/($M$3:M252="2"),ROW($M$3:M252))),IF(COUNTIF($M$3:M252,"3")=0,10^9,LOOKUP(2,1/($M$3:M252="3"),ROW($M$3:M252))),IF(COUNTIF($M$3:M252,"4")=0,10^9,LOOKUP(2,1/($M$3:M252="4"),ROW($M$3:M252))),IF(COUNTIF($M$3:M252,"5")=0,10^9,LOOKUP(2,1/($M$3:M252="5"),ROW($M$3:M252))),IF(COUNTIF($M$3:M252,"6")=0,10^9,LOOKUP(2,1/($M$3:M252="6"),ROW($M$3:M252))),IF(COUNTIF($M$3:M252,"7")=0,10^9,LOOKUP(2,1/($M$3:M252="7"),ROW($M$3:M252))),IF(COUNTIF($M$3:M252,"8")=0,10^9,LOOKUP(2,1/($M$3:M252="8"),ROW($M$3:M252))),IF(COUNTIF($M$3:M252,"9")=0,10^9,LOOKUP(2,1/($M$3:M252="9"),ROW($M$3:M252))))-ROW($M$3)+1),"")),AND(N253&lt;&gt;"",N253=IFERROR(INDEX($N$3:N252,MIN(IF(COUNTIF($N$3:N252,"鼠")=0,10^9,LOOKUP(2,1/($N$3:N252="鼠"),ROW($N$3:N252))),IF(COUNTIF($N$3:N252,"牛")=0,10^9,LOOKUP(2,1/($N$3:N252="牛"),ROW($N$3:N252))),IF(COUNTIF($N$3:N252,"虎")=0,10^9,LOOKUP(2,1/($N$3:N252="虎"),ROW($N$3:N252))),IF(COUNTIF($N$3:N252,"兔")=0,10^9,LOOKUP(2,1/($N$3:N252="兔"),ROW($N$3:N252))),IF(COUNTIF($N$3:N252,"龙")=0,10^9,LOOKUP(2,1/($N$3:N252="龙"),ROW($N$3:N252))),IF(COUNTIF($N$3:N252,"蛇")=0,10^9,LOOKUP(2,1/($N$3:N252="蛇"),ROW($N$3:N252))),IF(COUNTIF($N$3:N252,"马")=0,10^9,LOOKUP(2,1/($N$3:N252="马"),ROW($N$3:N252))),IF(COUNTIF($N$3:N252,"羊")=0,10^9,LOOKUP(2,1/($N$3:N252="羊"),ROW($N$3:N252))),IF(COUNTIF($N$3:N252,"猴")=0,10^9,LOOKUP(2,1/($N$3:N252="猴"),ROW($N$3:N252))),IF(COUNTIF($N$3:N252,"鸡")=0,10^9,LOOKUP(2,1/($N$3:N252="鸡"),ROW($N$3:N252))),IF(COUNTIF($N$3:N252,"狗")=0,10^9,LOOKUP(2,1/($N$3:N252="狗"),ROW($N$3:N252))),IF(COUNTIF($N$3:N252,"猪")=0,10^9,LOOKUP(2,1/($N$3:N252="猪"),ROW($N$3:N252))))-ROW($N$3)+1),""))),0,IF(ISNUMBER(J252),J252+1,1)))</f>
        <v/>
      </c>
      <c r="K253" s="5" t="e">
        <f t="shared" si="24"/>
        <v>#N/A</v>
      </c>
      <c r="M253" s="6" t="str">
        <f t="shared" si="20"/>
        <v/>
      </c>
      <c r="N253" s="2" t="e">
        <f t="shared" si="21"/>
        <v>#N/A</v>
      </c>
      <c r="O253" s="7" t="str">
        <f>IF(M253="","",IF(COUNTIF(M254:$M$1000,M253)&gt;0,"",M253))</f>
        <v/>
      </c>
      <c r="P253" s="8" t="e">
        <f>IF(N253="","",IF(COUNTIF(N254:$N$1000,N253)&gt;0,"",N253))</f>
        <v>#N/A</v>
      </c>
      <c r="Q253" s="21" t="e">
        <f t="shared" si="22"/>
        <v>#NUM!</v>
      </c>
      <c r="R253" s="22" t="e">
        <f t="shared" si="23"/>
        <v>#NUM!</v>
      </c>
      <c r="S253" s="11"/>
      <c r="T253" s="11"/>
      <c r="U253" s="11"/>
      <c r="W253" s="11"/>
      <c r="X253" s="2"/>
      <c r="Y253" s="2"/>
    </row>
    <row r="254" s="1" customFormat="1" spans="1:25">
      <c r="A254" s="2">
        <v>115056889</v>
      </c>
      <c r="B254" s="2"/>
      <c r="C254" s="2"/>
      <c r="D254" s="2"/>
      <c r="E254" s="2"/>
      <c r="F254" s="2"/>
      <c r="G254" s="2"/>
      <c r="H254" s="3"/>
      <c r="I254" s="2" t="e">
        <f t="shared" si="19"/>
        <v>#N/A</v>
      </c>
      <c r="J254" s="4" t="str">
        <f>IF(H254="","",IF(OR(AND(M254&lt;&gt;"",M254=IFERROR(INDEX($M$3:M253,MIN(IF(COUNTIF($M$3:M253,"0")=0,10^9,LOOKUP(2,1/($M$3:M253="0"),ROW($M$3:M253))),IF(COUNTIF($M$3:M253,"1")=0,10^9,LOOKUP(2,1/($M$3:M253="1"),ROW($M$3:M253))),IF(COUNTIF($M$3:M253,"2")=0,10^9,LOOKUP(2,1/($M$3:M253="2"),ROW($M$3:M253))),IF(COUNTIF($M$3:M253,"3")=0,10^9,LOOKUP(2,1/($M$3:M253="3"),ROW($M$3:M253))),IF(COUNTIF($M$3:M253,"4")=0,10^9,LOOKUP(2,1/($M$3:M253="4"),ROW($M$3:M253))),IF(COUNTIF($M$3:M253,"5")=0,10^9,LOOKUP(2,1/($M$3:M253="5"),ROW($M$3:M253))),IF(COUNTIF($M$3:M253,"6")=0,10^9,LOOKUP(2,1/($M$3:M253="6"),ROW($M$3:M253))),IF(COUNTIF($M$3:M253,"7")=0,10^9,LOOKUP(2,1/($M$3:M253="7"),ROW($M$3:M253))),IF(COUNTIF($M$3:M253,"8")=0,10^9,LOOKUP(2,1/($M$3:M253="8"),ROW($M$3:M253))),IF(COUNTIF($M$3:M253,"9")=0,10^9,LOOKUP(2,1/($M$3:M253="9"),ROW($M$3:M253))))-ROW($M$3)+1),"")),AND(N254&lt;&gt;"",N254=IFERROR(INDEX($N$3:N253,MIN(IF(COUNTIF($N$3:N253,"鼠")=0,10^9,LOOKUP(2,1/($N$3:N253="鼠"),ROW($N$3:N253))),IF(COUNTIF($N$3:N253,"牛")=0,10^9,LOOKUP(2,1/($N$3:N253="牛"),ROW($N$3:N253))),IF(COUNTIF($N$3:N253,"虎")=0,10^9,LOOKUP(2,1/($N$3:N253="虎"),ROW($N$3:N253))),IF(COUNTIF($N$3:N253,"兔")=0,10^9,LOOKUP(2,1/($N$3:N253="兔"),ROW($N$3:N253))),IF(COUNTIF($N$3:N253,"龙")=0,10^9,LOOKUP(2,1/($N$3:N253="龙"),ROW($N$3:N253))),IF(COUNTIF($N$3:N253,"蛇")=0,10^9,LOOKUP(2,1/($N$3:N253="蛇"),ROW($N$3:N253))),IF(COUNTIF($N$3:N253,"马")=0,10^9,LOOKUP(2,1/($N$3:N253="马"),ROW($N$3:N253))),IF(COUNTIF($N$3:N253,"羊")=0,10^9,LOOKUP(2,1/($N$3:N253="羊"),ROW($N$3:N253))),IF(COUNTIF($N$3:N253,"猴")=0,10^9,LOOKUP(2,1/($N$3:N253="猴"),ROW($N$3:N253))),IF(COUNTIF($N$3:N253,"鸡")=0,10^9,LOOKUP(2,1/($N$3:N253="鸡"),ROW($N$3:N253))),IF(COUNTIF($N$3:N253,"狗")=0,10^9,LOOKUP(2,1/($N$3:N253="狗"),ROW($N$3:N253))),IF(COUNTIF($N$3:N253,"猪")=0,10^9,LOOKUP(2,1/($N$3:N253="猪"),ROW($N$3:N253))))-ROW($N$3)+1),""))),0,IF(ISNUMBER(J253),J253+1,1)))</f>
        <v/>
      </c>
      <c r="K254" s="5" t="e">
        <f t="shared" si="24"/>
        <v>#N/A</v>
      </c>
      <c r="M254" s="6" t="str">
        <f t="shared" si="20"/>
        <v/>
      </c>
      <c r="N254" s="2" t="e">
        <f t="shared" si="21"/>
        <v>#N/A</v>
      </c>
      <c r="O254" s="7" t="str">
        <f>IF(M254="","",IF(COUNTIF(M255:$M$1000,M254)&gt;0,"",M254))</f>
        <v/>
      </c>
      <c r="P254" s="8" t="e">
        <f>IF(N254="","",IF(COUNTIF(N255:$N$1000,N254)&gt;0,"",N254))</f>
        <v>#N/A</v>
      </c>
      <c r="Q254" s="21" t="e">
        <f t="shared" si="22"/>
        <v>#NUM!</v>
      </c>
      <c r="R254" s="22" t="e">
        <f t="shared" si="23"/>
        <v>#NUM!</v>
      </c>
      <c r="S254" s="11"/>
      <c r="T254" s="11"/>
      <c r="U254" s="11"/>
      <c r="W254" s="11"/>
      <c r="X254" s="2"/>
      <c r="Y254" s="2"/>
    </row>
    <row r="255" s="1" customFormat="1" spans="1:25">
      <c r="A255" s="2">
        <v>115056890</v>
      </c>
      <c r="B255" s="2"/>
      <c r="C255" s="2"/>
      <c r="D255" s="2"/>
      <c r="E255" s="2"/>
      <c r="F255" s="2"/>
      <c r="G255" s="2"/>
      <c r="H255" s="3"/>
      <c r="I255" s="2" t="e">
        <f t="shared" si="19"/>
        <v>#N/A</v>
      </c>
      <c r="J255" s="4" t="str">
        <f>IF(H255="","",IF(OR(AND(M255&lt;&gt;"",M255=IFERROR(INDEX($M$3:M254,MIN(IF(COUNTIF($M$3:M254,"0")=0,10^9,LOOKUP(2,1/($M$3:M254="0"),ROW($M$3:M254))),IF(COUNTIF($M$3:M254,"1")=0,10^9,LOOKUP(2,1/($M$3:M254="1"),ROW($M$3:M254))),IF(COUNTIF($M$3:M254,"2")=0,10^9,LOOKUP(2,1/($M$3:M254="2"),ROW($M$3:M254))),IF(COUNTIF($M$3:M254,"3")=0,10^9,LOOKUP(2,1/($M$3:M254="3"),ROW($M$3:M254))),IF(COUNTIF($M$3:M254,"4")=0,10^9,LOOKUP(2,1/($M$3:M254="4"),ROW($M$3:M254))),IF(COUNTIF($M$3:M254,"5")=0,10^9,LOOKUP(2,1/($M$3:M254="5"),ROW($M$3:M254))),IF(COUNTIF($M$3:M254,"6")=0,10^9,LOOKUP(2,1/($M$3:M254="6"),ROW($M$3:M254))),IF(COUNTIF($M$3:M254,"7")=0,10^9,LOOKUP(2,1/($M$3:M254="7"),ROW($M$3:M254))),IF(COUNTIF($M$3:M254,"8")=0,10^9,LOOKUP(2,1/($M$3:M254="8"),ROW($M$3:M254))),IF(COUNTIF($M$3:M254,"9")=0,10^9,LOOKUP(2,1/($M$3:M254="9"),ROW($M$3:M254))))-ROW($M$3)+1),"")),AND(N255&lt;&gt;"",N255=IFERROR(INDEX($N$3:N254,MIN(IF(COUNTIF($N$3:N254,"鼠")=0,10^9,LOOKUP(2,1/($N$3:N254="鼠"),ROW($N$3:N254))),IF(COUNTIF($N$3:N254,"牛")=0,10^9,LOOKUP(2,1/($N$3:N254="牛"),ROW($N$3:N254))),IF(COUNTIF($N$3:N254,"虎")=0,10^9,LOOKUP(2,1/($N$3:N254="虎"),ROW($N$3:N254))),IF(COUNTIF($N$3:N254,"兔")=0,10^9,LOOKUP(2,1/($N$3:N254="兔"),ROW($N$3:N254))),IF(COUNTIF($N$3:N254,"龙")=0,10^9,LOOKUP(2,1/($N$3:N254="龙"),ROW($N$3:N254))),IF(COUNTIF($N$3:N254,"蛇")=0,10^9,LOOKUP(2,1/($N$3:N254="蛇"),ROW($N$3:N254))),IF(COUNTIF($N$3:N254,"马")=0,10^9,LOOKUP(2,1/($N$3:N254="马"),ROW($N$3:N254))),IF(COUNTIF($N$3:N254,"羊")=0,10^9,LOOKUP(2,1/($N$3:N254="羊"),ROW($N$3:N254))),IF(COUNTIF($N$3:N254,"猴")=0,10^9,LOOKUP(2,1/($N$3:N254="猴"),ROW($N$3:N254))),IF(COUNTIF($N$3:N254,"鸡")=0,10^9,LOOKUP(2,1/($N$3:N254="鸡"),ROW($N$3:N254))),IF(COUNTIF($N$3:N254,"狗")=0,10^9,LOOKUP(2,1/($N$3:N254="狗"),ROW($N$3:N254))),IF(COUNTIF($N$3:N254,"猪")=0,10^9,LOOKUP(2,1/($N$3:N254="猪"),ROW($N$3:N254))))-ROW($N$3)+1),""))),0,IF(ISNUMBER(J254),J254+1,1)))</f>
        <v/>
      </c>
      <c r="K255" s="5" t="e">
        <f t="shared" si="24"/>
        <v>#N/A</v>
      </c>
      <c r="M255" s="6" t="str">
        <f t="shared" si="20"/>
        <v/>
      </c>
      <c r="N255" s="2" t="e">
        <f t="shared" si="21"/>
        <v>#N/A</v>
      </c>
      <c r="O255" s="7" t="str">
        <f>IF(M255="","",IF(COUNTIF(M256:$M$1000,M255)&gt;0,"",M255))</f>
        <v/>
      </c>
      <c r="P255" s="8" t="e">
        <f>IF(N255="","",IF(COUNTIF(N256:$N$1000,N255)&gt;0,"",N255))</f>
        <v>#N/A</v>
      </c>
      <c r="Q255" s="21" t="e">
        <f t="shared" si="22"/>
        <v>#NUM!</v>
      </c>
      <c r="R255" s="22" t="e">
        <f t="shared" si="23"/>
        <v>#NUM!</v>
      </c>
      <c r="S255" s="11"/>
      <c r="T255" s="11"/>
      <c r="U255" s="11"/>
      <c r="W255" s="11"/>
      <c r="X255" s="2"/>
      <c r="Y255" s="2"/>
    </row>
    <row r="256" s="1" customFormat="1" spans="1:25">
      <c r="A256" s="2">
        <v>115056891</v>
      </c>
      <c r="B256" s="2"/>
      <c r="C256" s="2"/>
      <c r="D256" s="2"/>
      <c r="E256" s="2"/>
      <c r="F256" s="2"/>
      <c r="G256" s="2"/>
      <c r="H256" s="3"/>
      <c r="I256" s="2" t="e">
        <f t="shared" si="19"/>
        <v>#N/A</v>
      </c>
      <c r="J256" s="4" t="str">
        <f>IF(H256="","",IF(OR(AND(M256&lt;&gt;"",M256=IFERROR(INDEX($M$3:M255,MIN(IF(COUNTIF($M$3:M255,"0")=0,10^9,LOOKUP(2,1/($M$3:M255="0"),ROW($M$3:M255))),IF(COUNTIF($M$3:M255,"1")=0,10^9,LOOKUP(2,1/($M$3:M255="1"),ROW($M$3:M255))),IF(COUNTIF($M$3:M255,"2")=0,10^9,LOOKUP(2,1/($M$3:M255="2"),ROW($M$3:M255))),IF(COUNTIF($M$3:M255,"3")=0,10^9,LOOKUP(2,1/($M$3:M255="3"),ROW($M$3:M255))),IF(COUNTIF($M$3:M255,"4")=0,10^9,LOOKUP(2,1/($M$3:M255="4"),ROW($M$3:M255))),IF(COUNTIF($M$3:M255,"5")=0,10^9,LOOKUP(2,1/($M$3:M255="5"),ROW($M$3:M255))),IF(COUNTIF($M$3:M255,"6")=0,10^9,LOOKUP(2,1/($M$3:M255="6"),ROW($M$3:M255))),IF(COUNTIF($M$3:M255,"7")=0,10^9,LOOKUP(2,1/($M$3:M255="7"),ROW($M$3:M255))),IF(COUNTIF($M$3:M255,"8")=0,10^9,LOOKUP(2,1/($M$3:M255="8"),ROW($M$3:M255))),IF(COUNTIF($M$3:M255,"9")=0,10^9,LOOKUP(2,1/($M$3:M255="9"),ROW($M$3:M255))))-ROW($M$3)+1),"")),AND(N256&lt;&gt;"",N256=IFERROR(INDEX($N$3:N255,MIN(IF(COUNTIF($N$3:N255,"鼠")=0,10^9,LOOKUP(2,1/($N$3:N255="鼠"),ROW($N$3:N255))),IF(COUNTIF($N$3:N255,"牛")=0,10^9,LOOKUP(2,1/($N$3:N255="牛"),ROW($N$3:N255))),IF(COUNTIF($N$3:N255,"虎")=0,10^9,LOOKUP(2,1/($N$3:N255="虎"),ROW($N$3:N255))),IF(COUNTIF($N$3:N255,"兔")=0,10^9,LOOKUP(2,1/($N$3:N255="兔"),ROW($N$3:N255))),IF(COUNTIF($N$3:N255,"龙")=0,10^9,LOOKUP(2,1/($N$3:N255="龙"),ROW($N$3:N255))),IF(COUNTIF($N$3:N255,"蛇")=0,10^9,LOOKUP(2,1/($N$3:N255="蛇"),ROW($N$3:N255))),IF(COUNTIF($N$3:N255,"马")=0,10^9,LOOKUP(2,1/($N$3:N255="马"),ROW($N$3:N255))),IF(COUNTIF($N$3:N255,"羊")=0,10^9,LOOKUP(2,1/($N$3:N255="羊"),ROW($N$3:N255))),IF(COUNTIF($N$3:N255,"猴")=0,10^9,LOOKUP(2,1/($N$3:N255="猴"),ROW($N$3:N255))),IF(COUNTIF($N$3:N255,"鸡")=0,10^9,LOOKUP(2,1/($N$3:N255="鸡"),ROW($N$3:N255))),IF(COUNTIF($N$3:N255,"狗")=0,10^9,LOOKUP(2,1/($N$3:N255="狗"),ROW($N$3:N255))),IF(COUNTIF($N$3:N255,"猪")=0,10^9,LOOKUP(2,1/($N$3:N255="猪"),ROW($N$3:N255))))-ROW($N$3)+1),""))),0,IF(ISNUMBER(J255),J255+1,1)))</f>
        <v/>
      </c>
      <c r="K256" s="5" t="e">
        <f t="shared" si="24"/>
        <v>#N/A</v>
      </c>
      <c r="M256" s="6" t="str">
        <f t="shared" si="20"/>
        <v/>
      </c>
      <c r="N256" s="2" t="e">
        <f t="shared" si="21"/>
        <v>#N/A</v>
      </c>
      <c r="O256" s="7" t="str">
        <f>IF(M256="","",IF(COUNTIF(M257:$M$1000,M256)&gt;0,"",M256))</f>
        <v/>
      </c>
      <c r="P256" s="8" t="e">
        <f>IF(N256="","",IF(COUNTIF(N257:$N$1000,N256)&gt;0,"",N256))</f>
        <v>#N/A</v>
      </c>
      <c r="Q256" s="21" t="e">
        <f t="shared" si="22"/>
        <v>#NUM!</v>
      </c>
      <c r="R256" s="22" t="e">
        <f t="shared" si="23"/>
        <v>#NUM!</v>
      </c>
      <c r="S256" s="11"/>
      <c r="T256" s="11"/>
      <c r="U256" s="11"/>
      <c r="W256" s="11"/>
      <c r="X256" s="2"/>
      <c r="Y256" s="2"/>
    </row>
    <row r="257" s="1" customFormat="1" spans="1:25">
      <c r="A257" s="2">
        <v>115056892</v>
      </c>
      <c r="B257" s="2"/>
      <c r="C257" s="2"/>
      <c r="D257" s="2"/>
      <c r="E257" s="2"/>
      <c r="F257" s="2"/>
      <c r="G257" s="2"/>
      <c r="H257" s="3"/>
      <c r="I257" s="2" t="e">
        <f t="shared" si="19"/>
        <v>#N/A</v>
      </c>
      <c r="J257" s="4" t="str">
        <f>IF(H257="","",IF(OR(AND(M257&lt;&gt;"",M257=IFERROR(INDEX($M$3:M256,MIN(IF(COUNTIF($M$3:M256,"0")=0,10^9,LOOKUP(2,1/($M$3:M256="0"),ROW($M$3:M256))),IF(COUNTIF($M$3:M256,"1")=0,10^9,LOOKUP(2,1/($M$3:M256="1"),ROW($M$3:M256))),IF(COUNTIF($M$3:M256,"2")=0,10^9,LOOKUP(2,1/($M$3:M256="2"),ROW($M$3:M256))),IF(COUNTIF($M$3:M256,"3")=0,10^9,LOOKUP(2,1/($M$3:M256="3"),ROW($M$3:M256))),IF(COUNTIF($M$3:M256,"4")=0,10^9,LOOKUP(2,1/($M$3:M256="4"),ROW($M$3:M256))),IF(COUNTIF($M$3:M256,"5")=0,10^9,LOOKUP(2,1/($M$3:M256="5"),ROW($M$3:M256))),IF(COUNTIF($M$3:M256,"6")=0,10^9,LOOKUP(2,1/($M$3:M256="6"),ROW($M$3:M256))),IF(COUNTIF($M$3:M256,"7")=0,10^9,LOOKUP(2,1/($M$3:M256="7"),ROW($M$3:M256))),IF(COUNTIF($M$3:M256,"8")=0,10^9,LOOKUP(2,1/($M$3:M256="8"),ROW($M$3:M256))),IF(COUNTIF($M$3:M256,"9")=0,10^9,LOOKUP(2,1/($M$3:M256="9"),ROW($M$3:M256))))-ROW($M$3)+1),"")),AND(N257&lt;&gt;"",N257=IFERROR(INDEX($N$3:N256,MIN(IF(COUNTIF($N$3:N256,"鼠")=0,10^9,LOOKUP(2,1/($N$3:N256="鼠"),ROW($N$3:N256))),IF(COUNTIF($N$3:N256,"牛")=0,10^9,LOOKUP(2,1/($N$3:N256="牛"),ROW($N$3:N256))),IF(COUNTIF($N$3:N256,"虎")=0,10^9,LOOKUP(2,1/($N$3:N256="虎"),ROW($N$3:N256))),IF(COUNTIF($N$3:N256,"兔")=0,10^9,LOOKUP(2,1/($N$3:N256="兔"),ROW($N$3:N256))),IF(COUNTIF($N$3:N256,"龙")=0,10^9,LOOKUP(2,1/($N$3:N256="龙"),ROW($N$3:N256))),IF(COUNTIF($N$3:N256,"蛇")=0,10^9,LOOKUP(2,1/($N$3:N256="蛇"),ROW($N$3:N256))),IF(COUNTIF($N$3:N256,"马")=0,10^9,LOOKUP(2,1/($N$3:N256="马"),ROW($N$3:N256))),IF(COUNTIF($N$3:N256,"羊")=0,10^9,LOOKUP(2,1/($N$3:N256="羊"),ROW($N$3:N256))),IF(COUNTIF($N$3:N256,"猴")=0,10^9,LOOKUP(2,1/($N$3:N256="猴"),ROW($N$3:N256))),IF(COUNTIF($N$3:N256,"鸡")=0,10^9,LOOKUP(2,1/($N$3:N256="鸡"),ROW($N$3:N256))),IF(COUNTIF($N$3:N256,"狗")=0,10^9,LOOKUP(2,1/($N$3:N256="狗"),ROW($N$3:N256))),IF(COUNTIF($N$3:N256,"猪")=0,10^9,LOOKUP(2,1/($N$3:N256="猪"),ROW($N$3:N256))))-ROW($N$3)+1),""))),0,IF(ISNUMBER(J256),J256+1,1)))</f>
        <v/>
      </c>
      <c r="K257" s="5" t="e">
        <f t="shared" si="24"/>
        <v>#N/A</v>
      </c>
      <c r="M257" s="6" t="str">
        <f t="shared" si="20"/>
        <v/>
      </c>
      <c r="N257" s="2" t="e">
        <f t="shared" si="21"/>
        <v>#N/A</v>
      </c>
      <c r="O257" s="7" t="str">
        <f>IF(M257="","",IF(COUNTIF(M258:$M$1000,M257)&gt;0,"",M257))</f>
        <v/>
      </c>
      <c r="P257" s="8" t="e">
        <f>IF(N257="","",IF(COUNTIF(N258:$N$1000,N257)&gt;0,"",N257))</f>
        <v>#N/A</v>
      </c>
      <c r="Q257" s="21" t="e">
        <f t="shared" si="22"/>
        <v>#NUM!</v>
      </c>
      <c r="R257" s="22" t="e">
        <f t="shared" si="23"/>
        <v>#NUM!</v>
      </c>
      <c r="S257" s="11"/>
      <c r="T257" s="11"/>
      <c r="U257" s="11"/>
      <c r="W257" s="11"/>
      <c r="X257" s="2"/>
      <c r="Y257" s="2"/>
    </row>
    <row r="258" s="1" customFormat="1" spans="1:25">
      <c r="A258" s="2">
        <v>115056893</v>
      </c>
      <c r="B258" s="2"/>
      <c r="C258" s="2"/>
      <c r="D258" s="2"/>
      <c r="E258" s="2"/>
      <c r="F258" s="2"/>
      <c r="G258" s="2"/>
      <c r="H258" s="3"/>
      <c r="I258" s="2" t="e">
        <f t="shared" si="19"/>
        <v>#N/A</v>
      </c>
      <c r="J258" s="4" t="str">
        <f>IF(H258="","",IF(OR(AND(M258&lt;&gt;"",M258=IFERROR(INDEX($M$3:M257,MIN(IF(COUNTIF($M$3:M257,"0")=0,10^9,LOOKUP(2,1/($M$3:M257="0"),ROW($M$3:M257))),IF(COUNTIF($M$3:M257,"1")=0,10^9,LOOKUP(2,1/($M$3:M257="1"),ROW($M$3:M257))),IF(COUNTIF($M$3:M257,"2")=0,10^9,LOOKUP(2,1/($M$3:M257="2"),ROW($M$3:M257))),IF(COUNTIF($M$3:M257,"3")=0,10^9,LOOKUP(2,1/($M$3:M257="3"),ROW($M$3:M257))),IF(COUNTIF($M$3:M257,"4")=0,10^9,LOOKUP(2,1/($M$3:M257="4"),ROW($M$3:M257))),IF(COUNTIF($M$3:M257,"5")=0,10^9,LOOKUP(2,1/($M$3:M257="5"),ROW($M$3:M257))),IF(COUNTIF($M$3:M257,"6")=0,10^9,LOOKUP(2,1/($M$3:M257="6"),ROW($M$3:M257))),IF(COUNTIF($M$3:M257,"7")=0,10^9,LOOKUP(2,1/($M$3:M257="7"),ROW($M$3:M257))),IF(COUNTIF($M$3:M257,"8")=0,10^9,LOOKUP(2,1/($M$3:M257="8"),ROW($M$3:M257))),IF(COUNTIF($M$3:M257,"9")=0,10^9,LOOKUP(2,1/($M$3:M257="9"),ROW($M$3:M257))))-ROW($M$3)+1),"")),AND(N258&lt;&gt;"",N258=IFERROR(INDEX($N$3:N257,MIN(IF(COUNTIF($N$3:N257,"鼠")=0,10^9,LOOKUP(2,1/($N$3:N257="鼠"),ROW($N$3:N257))),IF(COUNTIF($N$3:N257,"牛")=0,10^9,LOOKUP(2,1/($N$3:N257="牛"),ROW($N$3:N257))),IF(COUNTIF($N$3:N257,"虎")=0,10^9,LOOKUP(2,1/($N$3:N257="虎"),ROW($N$3:N257))),IF(COUNTIF($N$3:N257,"兔")=0,10^9,LOOKUP(2,1/($N$3:N257="兔"),ROW($N$3:N257))),IF(COUNTIF($N$3:N257,"龙")=0,10^9,LOOKUP(2,1/($N$3:N257="龙"),ROW($N$3:N257))),IF(COUNTIF($N$3:N257,"蛇")=0,10^9,LOOKUP(2,1/($N$3:N257="蛇"),ROW($N$3:N257))),IF(COUNTIF($N$3:N257,"马")=0,10^9,LOOKUP(2,1/($N$3:N257="马"),ROW($N$3:N257))),IF(COUNTIF($N$3:N257,"羊")=0,10^9,LOOKUP(2,1/($N$3:N257="羊"),ROW($N$3:N257))),IF(COUNTIF($N$3:N257,"猴")=0,10^9,LOOKUP(2,1/($N$3:N257="猴"),ROW($N$3:N257))),IF(COUNTIF($N$3:N257,"鸡")=0,10^9,LOOKUP(2,1/($N$3:N257="鸡"),ROW($N$3:N257))),IF(COUNTIF($N$3:N257,"狗")=0,10^9,LOOKUP(2,1/($N$3:N257="狗"),ROW($N$3:N257))),IF(COUNTIF($N$3:N257,"猪")=0,10^9,LOOKUP(2,1/($N$3:N257="猪"),ROW($N$3:N257))))-ROW($N$3)+1),""))),0,IF(ISNUMBER(J257),J257+1,1)))</f>
        <v/>
      </c>
      <c r="K258" s="5" t="e">
        <f t="shared" si="24"/>
        <v>#N/A</v>
      </c>
      <c r="M258" s="6" t="str">
        <f t="shared" si="20"/>
        <v/>
      </c>
      <c r="N258" s="2" t="e">
        <f t="shared" si="21"/>
        <v>#N/A</v>
      </c>
      <c r="O258" s="7" t="str">
        <f>IF(M258="","",IF(COUNTIF(M259:$M$1000,M258)&gt;0,"",M258))</f>
        <v/>
      </c>
      <c r="P258" s="8" t="e">
        <f>IF(N258="","",IF(COUNTIF(N259:$N$1000,N258)&gt;0,"",N258))</f>
        <v>#N/A</v>
      </c>
      <c r="Q258" s="21" t="e">
        <f t="shared" si="22"/>
        <v>#NUM!</v>
      </c>
      <c r="R258" s="22" t="e">
        <f t="shared" si="23"/>
        <v>#NUM!</v>
      </c>
      <c r="S258" s="11"/>
      <c r="T258" s="11"/>
      <c r="U258" s="11"/>
      <c r="W258" s="11"/>
      <c r="X258" s="2"/>
      <c r="Y258" s="2"/>
    </row>
    <row r="259" s="1" customFormat="1" spans="1:25">
      <c r="A259" s="2">
        <v>115056894</v>
      </c>
      <c r="B259" s="2"/>
      <c r="C259" s="2"/>
      <c r="D259" s="2"/>
      <c r="E259" s="2"/>
      <c r="F259" s="2"/>
      <c r="G259" s="2"/>
      <c r="H259" s="3"/>
      <c r="I259" s="2" t="e">
        <f t="shared" ref="I259:I322" si="25">VLOOKUP(H259,X:Y,2,0)</f>
        <v>#N/A</v>
      </c>
      <c r="J259" s="4" t="str">
        <f>IF(H259="","",IF(OR(AND(M259&lt;&gt;"",M259=IFERROR(INDEX($M$3:M258,MIN(IF(COUNTIF($M$3:M258,"0")=0,10^9,LOOKUP(2,1/($M$3:M258="0"),ROW($M$3:M258))),IF(COUNTIF($M$3:M258,"1")=0,10^9,LOOKUP(2,1/($M$3:M258="1"),ROW($M$3:M258))),IF(COUNTIF($M$3:M258,"2")=0,10^9,LOOKUP(2,1/($M$3:M258="2"),ROW($M$3:M258))),IF(COUNTIF($M$3:M258,"3")=0,10^9,LOOKUP(2,1/($M$3:M258="3"),ROW($M$3:M258))),IF(COUNTIF($M$3:M258,"4")=0,10^9,LOOKUP(2,1/($M$3:M258="4"),ROW($M$3:M258))),IF(COUNTIF($M$3:M258,"5")=0,10^9,LOOKUP(2,1/($M$3:M258="5"),ROW($M$3:M258))),IF(COUNTIF($M$3:M258,"6")=0,10^9,LOOKUP(2,1/($M$3:M258="6"),ROW($M$3:M258))),IF(COUNTIF($M$3:M258,"7")=0,10^9,LOOKUP(2,1/($M$3:M258="7"),ROW($M$3:M258))),IF(COUNTIF($M$3:M258,"8")=0,10^9,LOOKUP(2,1/($M$3:M258="8"),ROW($M$3:M258))),IF(COUNTIF($M$3:M258,"9")=0,10^9,LOOKUP(2,1/($M$3:M258="9"),ROW($M$3:M258))))-ROW($M$3)+1),"")),AND(N259&lt;&gt;"",N259=IFERROR(INDEX($N$3:N258,MIN(IF(COUNTIF($N$3:N258,"鼠")=0,10^9,LOOKUP(2,1/($N$3:N258="鼠"),ROW($N$3:N258))),IF(COUNTIF($N$3:N258,"牛")=0,10^9,LOOKUP(2,1/($N$3:N258="牛"),ROW($N$3:N258))),IF(COUNTIF($N$3:N258,"虎")=0,10^9,LOOKUP(2,1/($N$3:N258="虎"),ROW($N$3:N258))),IF(COUNTIF($N$3:N258,"兔")=0,10^9,LOOKUP(2,1/($N$3:N258="兔"),ROW($N$3:N258))),IF(COUNTIF($N$3:N258,"龙")=0,10^9,LOOKUP(2,1/($N$3:N258="龙"),ROW($N$3:N258))),IF(COUNTIF($N$3:N258,"蛇")=0,10^9,LOOKUP(2,1/($N$3:N258="蛇"),ROW($N$3:N258))),IF(COUNTIF($N$3:N258,"马")=0,10^9,LOOKUP(2,1/($N$3:N258="马"),ROW($N$3:N258))),IF(COUNTIF($N$3:N258,"羊")=0,10^9,LOOKUP(2,1/($N$3:N258="羊"),ROW($N$3:N258))),IF(COUNTIF($N$3:N258,"猴")=0,10^9,LOOKUP(2,1/($N$3:N258="猴"),ROW($N$3:N258))),IF(COUNTIF($N$3:N258,"鸡")=0,10^9,LOOKUP(2,1/($N$3:N258="鸡"),ROW($N$3:N258))),IF(COUNTIF($N$3:N258,"狗")=0,10^9,LOOKUP(2,1/($N$3:N258="狗"),ROW($N$3:N258))),IF(COUNTIF($N$3:N258,"猪")=0,10^9,LOOKUP(2,1/($N$3:N258="猪"),ROW($N$3:N258))))-ROW($N$3)+1),""))),0,IF(ISNUMBER(J258),J258+1,1)))</f>
        <v/>
      </c>
      <c r="K259" s="5" t="e">
        <f t="shared" si="24"/>
        <v>#N/A</v>
      </c>
      <c r="M259" s="6" t="str">
        <f t="shared" ref="M259:M322" si="26">RIGHT(H259,1)</f>
        <v/>
      </c>
      <c r="N259" s="2" t="e">
        <f t="shared" ref="N259:N322" si="27">I259</f>
        <v>#N/A</v>
      </c>
      <c r="O259" s="7" t="str">
        <f>IF(M259="","",IF(COUNTIF(M260:$M$1000,M259)&gt;0,"",M259))</f>
        <v/>
      </c>
      <c r="P259" s="8" t="e">
        <f>IF(N259="","",IF(COUNTIF(N260:$N$1000,N259)&gt;0,"",N259))</f>
        <v>#N/A</v>
      </c>
      <c r="Q259" s="21" t="e">
        <f t="shared" ref="Q259:Q322" si="28">MOD(INT(SMALL(B259:G259,5)/10)+MOD(SMALL(B259:G259,5),10),10)+INT(SMALL(B259:G259,4)/10)+INT(SMALL(B259:G259,6)/10)+MOD(SMALL(B259:G259,6),10)+SMALL(B259:G259,4)+SMALL(B259:G259,6)+9</f>
        <v>#NUM!</v>
      </c>
      <c r="R259" s="22" t="e">
        <f t="shared" ref="R259:R322" si="29">VLOOKUP(Q259,X:Y,2,0)</f>
        <v>#NUM!</v>
      </c>
      <c r="S259" s="11"/>
      <c r="T259" s="11"/>
      <c r="U259" s="11"/>
      <c r="W259" s="11"/>
      <c r="X259" s="2"/>
      <c r="Y259" s="2"/>
    </row>
    <row r="260" s="1" customFormat="1" spans="1:25">
      <c r="A260" s="2">
        <v>115056895</v>
      </c>
      <c r="B260" s="2"/>
      <c r="C260" s="2"/>
      <c r="D260" s="2"/>
      <c r="E260" s="2"/>
      <c r="F260" s="2"/>
      <c r="G260" s="2"/>
      <c r="H260" s="3"/>
      <c r="I260" s="2" t="e">
        <f t="shared" si="25"/>
        <v>#N/A</v>
      </c>
      <c r="J260" s="4" t="str">
        <f>IF(H260="","",IF(OR(AND(M260&lt;&gt;"",M260=IFERROR(INDEX($M$3:M259,MIN(IF(COUNTIF($M$3:M259,"0")=0,10^9,LOOKUP(2,1/($M$3:M259="0"),ROW($M$3:M259))),IF(COUNTIF($M$3:M259,"1")=0,10^9,LOOKUP(2,1/($M$3:M259="1"),ROW($M$3:M259))),IF(COUNTIF($M$3:M259,"2")=0,10^9,LOOKUP(2,1/($M$3:M259="2"),ROW($M$3:M259))),IF(COUNTIF($M$3:M259,"3")=0,10^9,LOOKUP(2,1/($M$3:M259="3"),ROW($M$3:M259))),IF(COUNTIF($M$3:M259,"4")=0,10^9,LOOKUP(2,1/($M$3:M259="4"),ROW($M$3:M259))),IF(COUNTIF($M$3:M259,"5")=0,10^9,LOOKUP(2,1/($M$3:M259="5"),ROW($M$3:M259))),IF(COUNTIF($M$3:M259,"6")=0,10^9,LOOKUP(2,1/($M$3:M259="6"),ROW($M$3:M259))),IF(COUNTIF($M$3:M259,"7")=0,10^9,LOOKUP(2,1/($M$3:M259="7"),ROW($M$3:M259))),IF(COUNTIF($M$3:M259,"8")=0,10^9,LOOKUP(2,1/($M$3:M259="8"),ROW($M$3:M259))),IF(COUNTIF($M$3:M259,"9")=0,10^9,LOOKUP(2,1/($M$3:M259="9"),ROW($M$3:M259))))-ROW($M$3)+1),"")),AND(N260&lt;&gt;"",N260=IFERROR(INDEX($N$3:N259,MIN(IF(COUNTIF($N$3:N259,"鼠")=0,10^9,LOOKUP(2,1/($N$3:N259="鼠"),ROW($N$3:N259))),IF(COUNTIF($N$3:N259,"牛")=0,10^9,LOOKUP(2,1/($N$3:N259="牛"),ROW($N$3:N259))),IF(COUNTIF($N$3:N259,"虎")=0,10^9,LOOKUP(2,1/($N$3:N259="虎"),ROW($N$3:N259))),IF(COUNTIF($N$3:N259,"兔")=0,10^9,LOOKUP(2,1/($N$3:N259="兔"),ROW($N$3:N259))),IF(COUNTIF($N$3:N259,"龙")=0,10^9,LOOKUP(2,1/($N$3:N259="龙"),ROW($N$3:N259))),IF(COUNTIF($N$3:N259,"蛇")=0,10^9,LOOKUP(2,1/($N$3:N259="蛇"),ROW($N$3:N259))),IF(COUNTIF($N$3:N259,"马")=0,10^9,LOOKUP(2,1/($N$3:N259="马"),ROW($N$3:N259))),IF(COUNTIF($N$3:N259,"羊")=0,10^9,LOOKUP(2,1/($N$3:N259="羊"),ROW($N$3:N259))),IF(COUNTIF($N$3:N259,"猴")=0,10^9,LOOKUP(2,1/($N$3:N259="猴"),ROW($N$3:N259))),IF(COUNTIF($N$3:N259,"鸡")=0,10^9,LOOKUP(2,1/($N$3:N259="鸡"),ROW($N$3:N259))),IF(COUNTIF($N$3:N259,"狗")=0,10^9,LOOKUP(2,1/($N$3:N259="狗"),ROW($N$3:N259))),IF(COUNTIF($N$3:N259,"猪")=0,10^9,LOOKUP(2,1/($N$3:N259="猪"),ROW($N$3:N259))))-ROW($N$3)+1),""))),0,IF(ISNUMBER(J259),J259+1,1)))</f>
        <v/>
      </c>
      <c r="K260" s="5" t="e">
        <f t="shared" ref="K260:K323" si="30">IF(I260=R259,0,K259+1)</f>
        <v>#N/A</v>
      </c>
      <c r="M260" s="6" t="str">
        <f t="shared" si="26"/>
        <v/>
      </c>
      <c r="N260" s="2" t="e">
        <f t="shared" si="27"/>
        <v>#N/A</v>
      </c>
      <c r="O260" s="7" t="str">
        <f>IF(M260="","",IF(COUNTIF(M261:$M$1000,M260)&gt;0,"",M260))</f>
        <v/>
      </c>
      <c r="P260" s="8" t="e">
        <f>IF(N260="","",IF(COUNTIF(N261:$N$1000,N260)&gt;0,"",N260))</f>
        <v>#N/A</v>
      </c>
      <c r="Q260" s="21" t="e">
        <f t="shared" si="28"/>
        <v>#NUM!</v>
      </c>
      <c r="R260" s="22" t="e">
        <f t="shared" si="29"/>
        <v>#NUM!</v>
      </c>
      <c r="S260" s="11"/>
      <c r="T260" s="11"/>
      <c r="U260" s="11"/>
      <c r="W260" s="11"/>
      <c r="X260" s="2"/>
      <c r="Y260" s="2"/>
    </row>
    <row r="261" s="1" customFormat="1" spans="1:25">
      <c r="A261" s="2">
        <v>115056896</v>
      </c>
      <c r="B261" s="2"/>
      <c r="C261" s="2"/>
      <c r="D261" s="2"/>
      <c r="E261" s="2"/>
      <c r="F261" s="2"/>
      <c r="G261" s="2"/>
      <c r="H261" s="3"/>
      <c r="I261" s="2" t="e">
        <f t="shared" si="25"/>
        <v>#N/A</v>
      </c>
      <c r="J261" s="4" t="str">
        <f>IF(H261="","",IF(OR(AND(M261&lt;&gt;"",M261=IFERROR(INDEX($M$3:M260,MIN(IF(COUNTIF($M$3:M260,"0")=0,10^9,LOOKUP(2,1/($M$3:M260="0"),ROW($M$3:M260))),IF(COUNTIF($M$3:M260,"1")=0,10^9,LOOKUP(2,1/($M$3:M260="1"),ROW($M$3:M260))),IF(COUNTIF($M$3:M260,"2")=0,10^9,LOOKUP(2,1/($M$3:M260="2"),ROW($M$3:M260))),IF(COUNTIF($M$3:M260,"3")=0,10^9,LOOKUP(2,1/($M$3:M260="3"),ROW($M$3:M260))),IF(COUNTIF($M$3:M260,"4")=0,10^9,LOOKUP(2,1/($M$3:M260="4"),ROW($M$3:M260))),IF(COUNTIF($M$3:M260,"5")=0,10^9,LOOKUP(2,1/($M$3:M260="5"),ROW($M$3:M260))),IF(COUNTIF($M$3:M260,"6")=0,10^9,LOOKUP(2,1/($M$3:M260="6"),ROW($M$3:M260))),IF(COUNTIF($M$3:M260,"7")=0,10^9,LOOKUP(2,1/($M$3:M260="7"),ROW($M$3:M260))),IF(COUNTIF($M$3:M260,"8")=0,10^9,LOOKUP(2,1/($M$3:M260="8"),ROW($M$3:M260))),IF(COUNTIF($M$3:M260,"9")=0,10^9,LOOKUP(2,1/($M$3:M260="9"),ROW($M$3:M260))))-ROW($M$3)+1),"")),AND(N261&lt;&gt;"",N261=IFERROR(INDEX($N$3:N260,MIN(IF(COUNTIF($N$3:N260,"鼠")=0,10^9,LOOKUP(2,1/($N$3:N260="鼠"),ROW($N$3:N260))),IF(COUNTIF($N$3:N260,"牛")=0,10^9,LOOKUP(2,1/($N$3:N260="牛"),ROW($N$3:N260))),IF(COUNTIF($N$3:N260,"虎")=0,10^9,LOOKUP(2,1/($N$3:N260="虎"),ROW($N$3:N260))),IF(COUNTIF($N$3:N260,"兔")=0,10^9,LOOKUP(2,1/($N$3:N260="兔"),ROW($N$3:N260))),IF(COUNTIF($N$3:N260,"龙")=0,10^9,LOOKUP(2,1/($N$3:N260="龙"),ROW($N$3:N260))),IF(COUNTIF($N$3:N260,"蛇")=0,10^9,LOOKUP(2,1/($N$3:N260="蛇"),ROW($N$3:N260))),IF(COUNTIF($N$3:N260,"马")=0,10^9,LOOKUP(2,1/($N$3:N260="马"),ROW($N$3:N260))),IF(COUNTIF($N$3:N260,"羊")=0,10^9,LOOKUP(2,1/($N$3:N260="羊"),ROW($N$3:N260))),IF(COUNTIF($N$3:N260,"猴")=0,10^9,LOOKUP(2,1/($N$3:N260="猴"),ROW($N$3:N260))),IF(COUNTIF($N$3:N260,"鸡")=0,10^9,LOOKUP(2,1/($N$3:N260="鸡"),ROW($N$3:N260))),IF(COUNTIF($N$3:N260,"狗")=0,10^9,LOOKUP(2,1/($N$3:N260="狗"),ROW($N$3:N260))),IF(COUNTIF($N$3:N260,"猪")=0,10^9,LOOKUP(2,1/($N$3:N260="猪"),ROW($N$3:N260))))-ROW($N$3)+1),""))),0,IF(ISNUMBER(J260),J260+1,1)))</f>
        <v/>
      </c>
      <c r="K261" s="5" t="e">
        <f t="shared" si="30"/>
        <v>#N/A</v>
      </c>
      <c r="M261" s="6" t="str">
        <f t="shared" si="26"/>
        <v/>
      </c>
      <c r="N261" s="2" t="e">
        <f t="shared" si="27"/>
        <v>#N/A</v>
      </c>
      <c r="O261" s="7" t="str">
        <f>IF(M261="","",IF(COUNTIF(M262:$M$1000,M261)&gt;0,"",M261))</f>
        <v/>
      </c>
      <c r="P261" s="8" t="e">
        <f>IF(N261="","",IF(COUNTIF(N262:$N$1000,N261)&gt;0,"",N261))</f>
        <v>#N/A</v>
      </c>
      <c r="Q261" s="21" t="e">
        <f t="shared" si="28"/>
        <v>#NUM!</v>
      </c>
      <c r="R261" s="22" t="e">
        <f t="shared" si="29"/>
        <v>#NUM!</v>
      </c>
      <c r="S261" s="11"/>
      <c r="T261" s="11"/>
      <c r="U261" s="11"/>
      <c r="W261" s="11"/>
      <c r="X261" s="2"/>
      <c r="Y261" s="2"/>
    </row>
    <row r="262" s="1" customFormat="1" spans="1:25">
      <c r="A262" s="2">
        <v>115056897</v>
      </c>
      <c r="B262" s="2"/>
      <c r="C262" s="2"/>
      <c r="D262" s="2"/>
      <c r="E262" s="2"/>
      <c r="F262" s="2"/>
      <c r="G262" s="2"/>
      <c r="H262" s="3"/>
      <c r="I262" s="2" t="e">
        <f t="shared" si="25"/>
        <v>#N/A</v>
      </c>
      <c r="J262" s="4" t="str">
        <f>IF(H262="","",IF(OR(AND(M262&lt;&gt;"",M262=IFERROR(INDEX($M$3:M261,MIN(IF(COUNTIF($M$3:M261,"0")=0,10^9,LOOKUP(2,1/($M$3:M261="0"),ROW($M$3:M261))),IF(COUNTIF($M$3:M261,"1")=0,10^9,LOOKUP(2,1/($M$3:M261="1"),ROW($M$3:M261))),IF(COUNTIF($M$3:M261,"2")=0,10^9,LOOKUP(2,1/($M$3:M261="2"),ROW($M$3:M261))),IF(COUNTIF($M$3:M261,"3")=0,10^9,LOOKUP(2,1/($M$3:M261="3"),ROW($M$3:M261))),IF(COUNTIF($M$3:M261,"4")=0,10^9,LOOKUP(2,1/($M$3:M261="4"),ROW($M$3:M261))),IF(COUNTIF($M$3:M261,"5")=0,10^9,LOOKUP(2,1/($M$3:M261="5"),ROW($M$3:M261))),IF(COUNTIF($M$3:M261,"6")=0,10^9,LOOKUP(2,1/($M$3:M261="6"),ROW($M$3:M261))),IF(COUNTIF($M$3:M261,"7")=0,10^9,LOOKUP(2,1/($M$3:M261="7"),ROW($M$3:M261))),IF(COUNTIF($M$3:M261,"8")=0,10^9,LOOKUP(2,1/($M$3:M261="8"),ROW($M$3:M261))),IF(COUNTIF($M$3:M261,"9")=0,10^9,LOOKUP(2,1/($M$3:M261="9"),ROW($M$3:M261))))-ROW($M$3)+1),"")),AND(N262&lt;&gt;"",N262=IFERROR(INDEX($N$3:N261,MIN(IF(COUNTIF($N$3:N261,"鼠")=0,10^9,LOOKUP(2,1/($N$3:N261="鼠"),ROW($N$3:N261))),IF(COUNTIF($N$3:N261,"牛")=0,10^9,LOOKUP(2,1/($N$3:N261="牛"),ROW($N$3:N261))),IF(COUNTIF($N$3:N261,"虎")=0,10^9,LOOKUP(2,1/($N$3:N261="虎"),ROW($N$3:N261))),IF(COUNTIF($N$3:N261,"兔")=0,10^9,LOOKUP(2,1/($N$3:N261="兔"),ROW($N$3:N261))),IF(COUNTIF($N$3:N261,"龙")=0,10^9,LOOKUP(2,1/($N$3:N261="龙"),ROW($N$3:N261))),IF(COUNTIF($N$3:N261,"蛇")=0,10^9,LOOKUP(2,1/($N$3:N261="蛇"),ROW($N$3:N261))),IF(COUNTIF($N$3:N261,"马")=0,10^9,LOOKUP(2,1/($N$3:N261="马"),ROW($N$3:N261))),IF(COUNTIF($N$3:N261,"羊")=0,10^9,LOOKUP(2,1/($N$3:N261="羊"),ROW($N$3:N261))),IF(COUNTIF($N$3:N261,"猴")=0,10^9,LOOKUP(2,1/($N$3:N261="猴"),ROW($N$3:N261))),IF(COUNTIF($N$3:N261,"鸡")=0,10^9,LOOKUP(2,1/($N$3:N261="鸡"),ROW($N$3:N261))),IF(COUNTIF($N$3:N261,"狗")=0,10^9,LOOKUP(2,1/($N$3:N261="狗"),ROW($N$3:N261))),IF(COUNTIF($N$3:N261,"猪")=0,10^9,LOOKUP(2,1/($N$3:N261="猪"),ROW($N$3:N261))))-ROW($N$3)+1),""))),0,IF(ISNUMBER(J261),J261+1,1)))</f>
        <v/>
      </c>
      <c r="K262" s="5" t="e">
        <f t="shared" si="30"/>
        <v>#N/A</v>
      </c>
      <c r="M262" s="6" t="str">
        <f t="shared" si="26"/>
        <v/>
      </c>
      <c r="N262" s="2" t="e">
        <f t="shared" si="27"/>
        <v>#N/A</v>
      </c>
      <c r="O262" s="7" t="str">
        <f>IF(M262="","",IF(COUNTIF(M263:$M$1000,M262)&gt;0,"",M262))</f>
        <v/>
      </c>
      <c r="P262" s="8" t="e">
        <f>IF(N262="","",IF(COUNTIF(N263:$N$1000,N262)&gt;0,"",N262))</f>
        <v>#N/A</v>
      </c>
      <c r="Q262" s="21" t="e">
        <f t="shared" si="28"/>
        <v>#NUM!</v>
      </c>
      <c r="R262" s="22" t="e">
        <f t="shared" si="29"/>
        <v>#NUM!</v>
      </c>
      <c r="S262" s="11"/>
      <c r="T262" s="11"/>
      <c r="U262" s="11"/>
      <c r="W262" s="11"/>
      <c r="X262" s="2"/>
      <c r="Y262" s="2"/>
    </row>
    <row r="263" s="1" customFormat="1" spans="1:25">
      <c r="A263" s="2">
        <v>115056898</v>
      </c>
      <c r="B263" s="2"/>
      <c r="C263" s="2"/>
      <c r="D263" s="2"/>
      <c r="E263" s="2"/>
      <c r="F263" s="2"/>
      <c r="G263" s="2"/>
      <c r="H263" s="3"/>
      <c r="I263" s="2" t="e">
        <f t="shared" si="25"/>
        <v>#N/A</v>
      </c>
      <c r="J263" s="4" t="str">
        <f>IF(H263="","",IF(OR(AND(M263&lt;&gt;"",M263=IFERROR(INDEX($M$3:M262,MIN(IF(COUNTIF($M$3:M262,"0")=0,10^9,LOOKUP(2,1/($M$3:M262="0"),ROW($M$3:M262))),IF(COUNTIF($M$3:M262,"1")=0,10^9,LOOKUP(2,1/($M$3:M262="1"),ROW($M$3:M262))),IF(COUNTIF($M$3:M262,"2")=0,10^9,LOOKUP(2,1/($M$3:M262="2"),ROW($M$3:M262))),IF(COUNTIF($M$3:M262,"3")=0,10^9,LOOKUP(2,1/($M$3:M262="3"),ROW($M$3:M262))),IF(COUNTIF($M$3:M262,"4")=0,10^9,LOOKUP(2,1/($M$3:M262="4"),ROW($M$3:M262))),IF(COUNTIF($M$3:M262,"5")=0,10^9,LOOKUP(2,1/($M$3:M262="5"),ROW($M$3:M262))),IF(COUNTIF($M$3:M262,"6")=0,10^9,LOOKUP(2,1/($M$3:M262="6"),ROW($M$3:M262))),IF(COUNTIF($M$3:M262,"7")=0,10^9,LOOKUP(2,1/($M$3:M262="7"),ROW($M$3:M262))),IF(COUNTIF($M$3:M262,"8")=0,10^9,LOOKUP(2,1/($M$3:M262="8"),ROW($M$3:M262))),IF(COUNTIF($M$3:M262,"9")=0,10^9,LOOKUP(2,1/($M$3:M262="9"),ROW($M$3:M262))))-ROW($M$3)+1),"")),AND(N263&lt;&gt;"",N263=IFERROR(INDEX($N$3:N262,MIN(IF(COUNTIF($N$3:N262,"鼠")=0,10^9,LOOKUP(2,1/($N$3:N262="鼠"),ROW($N$3:N262))),IF(COUNTIF($N$3:N262,"牛")=0,10^9,LOOKUP(2,1/($N$3:N262="牛"),ROW($N$3:N262))),IF(COUNTIF($N$3:N262,"虎")=0,10^9,LOOKUP(2,1/($N$3:N262="虎"),ROW($N$3:N262))),IF(COUNTIF($N$3:N262,"兔")=0,10^9,LOOKUP(2,1/($N$3:N262="兔"),ROW($N$3:N262))),IF(COUNTIF($N$3:N262,"龙")=0,10^9,LOOKUP(2,1/($N$3:N262="龙"),ROW($N$3:N262))),IF(COUNTIF($N$3:N262,"蛇")=0,10^9,LOOKUP(2,1/($N$3:N262="蛇"),ROW($N$3:N262))),IF(COUNTIF($N$3:N262,"马")=0,10^9,LOOKUP(2,1/($N$3:N262="马"),ROW($N$3:N262))),IF(COUNTIF($N$3:N262,"羊")=0,10^9,LOOKUP(2,1/($N$3:N262="羊"),ROW($N$3:N262))),IF(COUNTIF($N$3:N262,"猴")=0,10^9,LOOKUP(2,1/($N$3:N262="猴"),ROW($N$3:N262))),IF(COUNTIF($N$3:N262,"鸡")=0,10^9,LOOKUP(2,1/($N$3:N262="鸡"),ROW($N$3:N262))),IF(COUNTIF($N$3:N262,"狗")=0,10^9,LOOKUP(2,1/($N$3:N262="狗"),ROW($N$3:N262))),IF(COUNTIF($N$3:N262,"猪")=0,10^9,LOOKUP(2,1/($N$3:N262="猪"),ROW($N$3:N262))))-ROW($N$3)+1),""))),0,IF(ISNUMBER(J262),J262+1,1)))</f>
        <v/>
      </c>
      <c r="K263" s="5" t="e">
        <f t="shared" si="30"/>
        <v>#N/A</v>
      </c>
      <c r="M263" s="6" t="str">
        <f t="shared" si="26"/>
        <v/>
      </c>
      <c r="N263" s="2" t="e">
        <f t="shared" si="27"/>
        <v>#N/A</v>
      </c>
      <c r="O263" s="7" t="str">
        <f>IF(M263="","",IF(COUNTIF(M264:$M$1000,M263)&gt;0,"",M263))</f>
        <v/>
      </c>
      <c r="P263" s="8" t="e">
        <f>IF(N263="","",IF(COUNTIF(N264:$N$1000,N263)&gt;0,"",N263))</f>
        <v>#N/A</v>
      </c>
      <c r="Q263" s="21" t="e">
        <f t="shared" si="28"/>
        <v>#NUM!</v>
      </c>
      <c r="R263" s="22" t="e">
        <f t="shared" si="29"/>
        <v>#NUM!</v>
      </c>
      <c r="S263" s="11"/>
      <c r="T263" s="11"/>
      <c r="U263" s="11"/>
      <c r="W263" s="11"/>
      <c r="X263" s="2"/>
      <c r="Y263" s="2"/>
    </row>
    <row r="264" s="1" customFormat="1" spans="1:25">
      <c r="A264" s="2">
        <v>115056899</v>
      </c>
      <c r="B264" s="2"/>
      <c r="C264" s="2"/>
      <c r="D264" s="2"/>
      <c r="E264" s="2"/>
      <c r="F264" s="2"/>
      <c r="G264" s="2"/>
      <c r="H264" s="3"/>
      <c r="I264" s="2" t="e">
        <f t="shared" si="25"/>
        <v>#N/A</v>
      </c>
      <c r="J264" s="4" t="str">
        <f>IF(H264="","",IF(OR(AND(M264&lt;&gt;"",M264=IFERROR(INDEX($M$3:M263,MIN(IF(COUNTIF($M$3:M263,"0")=0,10^9,LOOKUP(2,1/($M$3:M263="0"),ROW($M$3:M263))),IF(COUNTIF($M$3:M263,"1")=0,10^9,LOOKUP(2,1/($M$3:M263="1"),ROW($M$3:M263))),IF(COUNTIF($M$3:M263,"2")=0,10^9,LOOKUP(2,1/($M$3:M263="2"),ROW($M$3:M263))),IF(COUNTIF($M$3:M263,"3")=0,10^9,LOOKUP(2,1/($M$3:M263="3"),ROW($M$3:M263))),IF(COUNTIF($M$3:M263,"4")=0,10^9,LOOKUP(2,1/($M$3:M263="4"),ROW($M$3:M263))),IF(COUNTIF($M$3:M263,"5")=0,10^9,LOOKUP(2,1/($M$3:M263="5"),ROW($M$3:M263))),IF(COUNTIF($M$3:M263,"6")=0,10^9,LOOKUP(2,1/($M$3:M263="6"),ROW($M$3:M263))),IF(COUNTIF($M$3:M263,"7")=0,10^9,LOOKUP(2,1/($M$3:M263="7"),ROW($M$3:M263))),IF(COUNTIF($M$3:M263,"8")=0,10^9,LOOKUP(2,1/($M$3:M263="8"),ROW($M$3:M263))),IF(COUNTIF($M$3:M263,"9")=0,10^9,LOOKUP(2,1/($M$3:M263="9"),ROW($M$3:M263))))-ROW($M$3)+1),"")),AND(N264&lt;&gt;"",N264=IFERROR(INDEX($N$3:N263,MIN(IF(COUNTIF($N$3:N263,"鼠")=0,10^9,LOOKUP(2,1/($N$3:N263="鼠"),ROW($N$3:N263))),IF(COUNTIF($N$3:N263,"牛")=0,10^9,LOOKUP(2,1/($N$3:N263="牛"),ROW($N$3:N263))),IF(COUNTIF($N$3:N263,"虎")=0,10^9,LOOKUP(2,1/($N$3:N263="虎"),ROW($N$3:N263))),IF(COUNTIF($N$3:N263,"兔")=0,10^9,LOOKUP(2,1/($N$3:N263="兔"),ROW($N$3:N263))),IF(COUNTIF($N$3:N263,"龙")=0,10^9,LOOKUP(2,1/($N$3:N263="龙"),ROW($N$3:N263))),IF(COUNTIF($N$3:N263,"蛇")=0,10^9,LOOKUP(2,1/($N$3:N263="蛇"),ROW($N$3:N263))),IF(COUNTIF($N$3:N263,"马")=0,10^9,LOOKUP(2,1/($N$3:N263="马"),ROW($N$3:N263))),IF(COUNTIF($N$3:N263,"羊")=0,10^9,LOOKUP(2,1/($N$3:N263="羊"),ROW($N$3:N263))),IF(COUNTIF($N$3:N263,"猴")=0,10^9,LOOKUP(2,1/($N$3:N263="猴"),ROW($N$3:N263))),IF(COUNTIF($N$3:N263,"鸡")=0,10^9,LOOKUP(2,1/($N$3:N263="鸡"),ROW($N$3:N263))),IF(COUNTIF($N$3:N263,"狗")=0,10^9,LOOKUP(2,1/($N$3:N263="狗"),ROW($N$3:N263))),IF(COUNTIF($N$3:N263,"猪")=0,10^9,LOOKUP(2,1/($N$3:N263="猪"),ROW($N$3:N263))))-ROW($N$3)+1),""))),0,IF(ISNUMBER(J263),J263+1,1)))</f>
        <v/>
      </c>
      <c r="K264" s="5" t="e">
        <f t="shared" si="30"/>
        <v>#N/A</v>
      </c>
      <c r="M264" s="6" t="str">
        <f t="shared" si="26"/>
        <v/>
      </c>
      <c r="N264" s="2" t="e">
        <f t="shared" si="27"/>
        <v>#N/A</v>
      </c>
      <c r="O264" s="7" t="str">
        <f>IF(M264="","",IF(COUNTIF(M265:$M$1000,M264)&gt;0,"",M264))</f>
        <v/>
      </c>
      <c r="P264" s="8" t="e">
        <f>IF(N264="","",IF(COUNTIF(N265:$N$1000,N264)&gt;0,"",N264))</f>
        <v>#N/A</v>
      </c>
      <c r="Q264" s="21" t="e">
        <f t="shared" si="28"/>
        <v>#NUM!</v>
      </c>
      <c r="R264" s="22" t="e">
        <f t="shared" si="29"/>
        <v>#NUM!</v>
      </c>
      <c r="S264" s="11"/>
      <c r="T264" s="11"/>
      <c r="U264" s="11"/>
      <c r="W264" s="11"/>
      <c r="X264" s="2"/>
      <c r="Y264" s="2"/>
    </row>
    <row r="265" s="1" customFormat="1" spans="1:25">
      <c r="A265" s="2">
        <v>115056900</v>
      </c>
      <c r="B265" s="2"/>
      <c r="C265" s="2"/>
      <c r="D265" s="2"/>
      <c r="E265" s="2"/>
      <c r="F265" s="2"/>
      <c r="G265" s="2"/>
      <c r="H265" s="3"/>
      <c r="I265" s="2" t="e">
        <f t="shared" si="25"/>
        <v>#N/A</v>
      </c>
      <c r="J265" s="4" t="str">
        <f>IF(H265="","",IF(OR(AND(M265&lt;&gt;"",M265=IFERROR(INDEX($M$3:M264,MIN(IF(COUNTIF($M$3:M264,"0")=0,10^9,LOOKUP(2,1/($M$3:M264="0"),ROW($M$3:M264))),IF(COUNTIF($M$3:M264,"1")=0,10^9,LOOKUP(2,1/($M$3:M264="1"),ROW($M$3:M264))),IF(COUNTIF($M$3:M264,"2")=0,10^9,LOOKUP(2,1/($M$3:M264="2"),ROW($M$3:M264))),IF(COUNTIF($M$3:M264,"3")=0,10^9,LOOKUP(2,1/($M$3:M264="3"),ROW($M$3:M264))),IF(COUNTIF($M$3:M264,"4")=0,10^9,LOOKUP(2,1/($M$3:M264="4"),ROW($M$3:M264))),IF(COUNTIF($M$3:M264,"5")=0,10^9,LOOKUP(2,1/($M$3:M264="5"),ROW($M$3:M264))),IF(COUNTIF($M$3:M264,"6")=0,10^9,LOOKUP(2,1/($M$3:M264="6"),ROW($M$3:M264))),IF(COUNTIF($M$3:M264,"7")=0,10^9,LOOKUP(2,1/($M$3:M264="7"),ROW($M$3:M264))),IF(COUNTIF($M$3:M264,"8")=0,10^9,LOOKUP(2,1/($M$3:M264="8"),ROW($M$3:M264))),IF(COUNTIF($M$3:M264,"9")=0,10^9,LOOKUP(2,1/($M$3:M264="9"),ROW($M$3:M264))))-ROW($M$3)+1),"")),AND(N265&lt;&gt;"",N265=IFERROR(INDEX($N$3:N264,MIN(IF(COUNTIF($N$3:N264,"鼠")=0,10^9,LOOKUP(2,1/($N$3:N264="鼠"),ROW($N$3:N264))),IF(COUNTIF($N$3:N264,"牛")=0,10^9,LOOKUP(2,1/($N$3:N264="牛"),ROW($N$3:N264))),IF(COUNTIF($N$3:N264,"虎")=0,10^9,LOOKUP(2,1/($N$3:N264="虎"),ROW($N$3:N264))),IF(COUNTIF($N$3:N264,"兔")=0,10^9,LOOKUP(2,1/($N$3:N264="兔"),ROW($N$3:N264))),IF(COUNTIF($N$3:N264,"龙")=0,10^9,LOOKUP(2,1/($N$3:N264="龙"),ROW($N$3:N264))),IF(COUNTIF($N$3:N264,"蛇")=0,10^9,LOOKUP(2,1/($N$3:N264="蛇"),ROW($N$3:N264))),IF(COUNTIF($N$3:N264,"马")=0,10^9,LOOKUP(2,1/($N$3:N264="马"),ROW($N$3:N264))),IF(COUNTIF($N$3:N264,"羊")=0,10^9,LOOKUP(2,1/($N$3:N264="羊"),ROW($N$3:N264))),IF(COUNTIF($N$3:N264,"猴")=0,10^9,LOOKUP(2,1/($N$3:N264="猴"),ROW($N$3:N264))),IF(COUNTIF($N$3:N264,"鸡")=0,10^9,LOOKUP(2,1/($N$3:N264="鸡"),ROW($N$3:N264))),IF(COUNTIF($N$3:N264,"狗")=0,10^9,LOOKUP(2,1/($N$3:N264="狗"),ROW($N$3:N264))),IF(COUNTIF($N$3:N264,"猪")=0,10^9,LOOKUP(2,1/($N$3:N264="猪"),ROW($N$3:N264))))-ROW($N$3)+1),""))),0,IF(ISNUMBER(J264),J264+1,1)))</f>
        <v/>
      </c>
      <c r="K265" s="5" t="e">
        <f t="shared" si="30"/>
        <v>#N/A</v>
      </c>
      <c r="M265" s="6" t="str">
        <f t="shared" si="26"/>
        <v/>
      </c>
      <c r="N265" s="2" t="e">
        <f t="shared" si="27"/>
        <v>#N/A</v>
      </c>
      <c r="O265" s="7" t="str">
        <f>IF(M265="","",IF(COUNTIF(M266:$M$1000,M265)&gt;0,"",M265))</f>
        <v/>
      </c>
      <c r="P265" s="8" t="e">
        <f>IF(N265="","",IF(COUNTIF(N266:$N$1000,N265)&gt;0,"",N265))</f>
        <v>#N/A</v>
      </c>
      <c r="Q265" s="21" t="e">
        <f t="shared" si="28"/>
        <v>#NUM!</v>
      </c>
      <c r="R265" s="22" t="e">
        <f t="shared" si="29"/>
        <v>#NUM!</v>
      </c>
      <c r="S265" s="11"/>
      <c r="T265" s="11"/>
      <c r="U265" s="11"/>
      <c r="W265" s="11"/>
      <c r="X265" s="2"/>
      <c r="Y265" s="2"/>
    </row>
    <row r="266" s="1" customFormat="1" spans="1:25">
      <c r="A266" s="2">
        <v>115056901</v>
      </c>
      <c r="B266" s="2"/>
      <c r="C266" s="2"/>
      <c r="D266" s="2"/>
      <c r="E266" s="2"/>
      <c r="F266" s="2"/>
      <c r="G266" s="2"/>
      <c r="H266" s="3"/>
      <c r="I266" s="2" t="e">
        <f t="shared" si="25"/>
        <v>#N/A</v>
      </c>
      <c r="J266" s="4" t="str">
        <f>IF(H266="","",IF(OR(AND(M266&lt;&gt;"",M266=IFERROR(INDEX($M$3:M265,MIN(IF(COUNTIF($M$3:M265,"0")=0,10^9,LOOKUP(2,1/($M$3:M265="0"),ROW($M$3:M265))),IF(COUNTIF($M$3:M265,"1")=0,10^9,LOOKUP(2,1/($M$3:M265="1"),ROW($M$3:M265))),IF(COUNTIF($M$3:M265,"2")=0,10^9,LOOKUP(2,1/($M$3:M265="2"),ROW($M$3:M265))),IF(COUNTIF($M$3:M265,"3")=0,10^9,LOOKUP(2,1/($M$3:M265="3"),ROW($M$3:M265))),IF(COUNTIF($M$3:M265,"4")=0,10^9,LOOKUP(2,1/($M$3:M265="4"),ROW($M$3:M265))),IF(COUNTIF($M$3:M265,"5")=0,10^9,LOOKUP(2,1/($M$3:M265="5"),ROW($M$3:M265))),IF(COUNTIF($M$3:M265,"6")=0,10^9,LOOKUP(2,1/($M$3:M265="6"),ROW($M$3:M265))),IF(COUNTIF($M$3:M265,"7")=0,10^9,LOOKUP(2,1/($M$3:M265="7"),ROW($M$3:M265))),IF(COUNTIF($M$3:M265,"8")=0,10^9,LOOKUP(2,1/($M$3:M265="8"),ROW($M$3:M265))),IF(COUNTIF($M$3:M265,"9")=0,10^9,LOOKUP(2,1/($M$3:M265="9"),ROW($M$3:M265))))-ROW($M$3)+1),"")),AND(N266&lt;&gt;"",N266=IFERROR(INDEX($N$3:N265,MIN(IF(COUNTIF($N$3:N265,"鼠")=0,10^9,LOOKUP(2,1/($N$3:N265="鼠"),ROW($N$3:N265))),IF(COUNTIF($N$3:N265,"牛")=0,10^9,LOOKUP(2,1/($N$3:N265="牛"),ROW($N$3:N265))),IF(COUNTIF($N$3:N265,"虎")=0,10^9,LOOKUP(2,1/($N$3:N265="虎"),ROW($N$3:N265))),IF(COUNTIF($N$3:N265,"兔")=0,10^9,LOOKUP(2,1/($N$3:N265="兔"),ROW($N$3:N265))),IF(COUNTIF($N$3:N265,"龙")=0,10^9,LOOKUP(2,1/($N$3:N265="龙"),ROW($N$3:N265))),IF(COUNTIF($N$3:N265,"蛇")=0,10^9,LOOKUP(2,1/($N$3:N265="蛇"),ROW($N$3:N265))),IF(COUNTIF($N$3:N265,"马")=0,10^9,LOOKUP(2,1/($N$3:N265="马"),ROW($N$3:N265))),IF(COUNTIF($N$3:N265,"羊")=0,10^9,LOOKUP(2,1/($N$3:N265="羊"),ROW($N$3:N265))),IF(COUNTIF($N$3:N265,"猴")=0,10^9,LOOKUP(2,1/($N$3:N265="猴"),ROW($N$3:N265))),IF(COUNTIF($N$3:N265,"鸡")=0,10^9,LOOKUP(2,1/($N$3:N265="鸡"),ROW($N$3:N265))),IF(COUNTIF($N$3:N265,"狗")=0,10^9,LOOKUP(2,1/($N$3:N265="狗"),ROW($N$3:N265))),IF(COUNTIF($N$3:N265,"猪")=0,10^9,LOOKUP(2,1/($N$3:N265="猪"),ROW($N$3:N265))))-ROW($N$3)+1),""))),0,IF(ISNUMBER(J265),J265+1,1)))</f>
        <v/>
      </c>
      <c r="K266" s="5" t="e">
        <f t="shared" si="30"/>
        <v>#N/A</v>
      </c>
      <c r="M266" s="6" t="str">
        <f t="shared" si="26"/>
        <v/>
      </c>
      <c r="N266" s="2" t="e">
        <f t="shared" si="27"/>
        <v>#N/A</v>
      </c>
      <c r="O266" s="7" t="str">
        <f>IF(M266="","",IF(COUNTIF(M267:$M$1000,M266)&gt;0,"",M266))</f>
        <v/>
      </c>
      <c r="P266" s="8" t="e">
        <f>IF(N266="","",IF(COUNTIF(N267:$N$1000,N266)&gt;0,"",N266))</f>
        <v>#N/A</v>
      </c>
      <c r="Q266" s="21" t="e">
        <f t="shared" si="28"/>
        <v>#NUM!</v>
      </c>
      <c r="R266" s="22" t="e">
        <f t="shared" si="29"/>
        <v>#NUM!</v>
      </c>
      <c r="S266" s="11"/>
      <c r="T266" s="11"/>
      <c r="U266" s="11"/>
      <c r="W266" s="11"/>
      <c r="X266" s="2"/>
      <c r="Y266" s="2"/>
    </row>
    <row r="267" s="1" customFormat="1" spans="1:25">
      <c r="A267" s="2">
        <v>115056902</v>
      </c>
      <c r="B267" s="2"/>
      <c r="C267" s="2"/>
      <c r="D267" s="2"/>
      <c r="E267" s="2"/>
      <c r="F267" s="2"/>
      <c r="G267" s="2"/>
      <c r="H267" s="3"/>
      <c r="I267" s="2" t="e">
        <f t="shared" si="25"/>
        <v>#N/A</v>
      </c>
      <c r="J267" s="4" t="str">
        <f>IF(H267="","",IF(OR(AND(M267&lt;&gt;"",M267=IFERROR(INDEX($M$3:M266,MIN(IF(COUNTIF($M$3:M266,"0")=0,10^9,LOOKUP(2,1/($M$3:M266="0"),ROW($M$3:M266))),IF(COUNTIF($M$3:M266,"1")=0,10^9,LOOKUP(2,1/($M$3:M266="1"),ROW($M$3:M266))),IF(COUNTIF($M$3:M266,"2")=0,10^9,LOOKUP(2,1/($M$3:M266="2"),ROW($M$3:M266))),IF(COUNTIF($M$3:M266,"3")=0,10^9,LOOKUP(2,1/($M$3:M266="3"),ROW($M$3:M266))),IF(COUNTIF($M$3:M266,"4")=0,10^9,LOOKUP(2,1/($M$3:M266="4"),ROW($M$3:M266))),IF(COUNTIF($M$3:M266,"5")=0,10^9,LOOKUP(2,1/($M$3:M266="5"),ROW($M$3:M266))),IF(COUNTIF($M$3:M266,"6")=0,10^9,LOOKUP(2,1/($M$3:M266="6"),ROW($M$3:M266))),IF(COUNTIF($M$3:M266,"7")=0,10^9,LOOKUP(2,1/($M$3:M266="7"),ROW($M$3:M266))),IF(COUNTIF($M$3:M266,"8")=0,10^9,LOOKUP(2,1/($M$3:M266="8"),ROW($M$3:M266))),IF(COUNTIF($M$3:M266,"9")=0,10^9,LOOKUP(2,1/($M$3:M266="9"),ROW($M$3:M266))))-ROW($M$3)+1),"")),AND(N267&lt;&gt;"",N267=IFERROR(INDEX($N$3:N266,MIN(IF(COUNTIF($N$3:N266,"鼠")=0,10^9,LOOKUP(2,1/($N$3:N266="鼠"),ROW($N$3:N266))),IF(COUNTIF($N$3:N266,"牛")=0,10^9,LOOKUP(2,1/($N$3:N266="牛"),ROW($N$3:N266))),IF(COUNTIF($N$3:N266,"虎")=0,10^9,LOOKUP(2,1/($N$3:N266="虎"),ROW($N$3:N266))),IF(COUNTIF($N$3:N266,"兔")=0,10^9,LOOKUP(2,1/($N$3:N266="兔"),ROW($N$3:N266))),IF(COUNTIF($N$3:N266,"龙")=0,10^9,LOOKUP(2,1/($N$3:N266="龙"),ROW($N$3:N266))),IF(COUNTIF($N$3:N266,"蛇")=0,10^9,LOOKUP(2,1/($N$3:N266="蛇"),ROW($N$3:N266))),IF(COUNTIF($N$3:N266,"马")=0,10^9,LOOKUP(2,1/($N$3:N266="马"),ROW($N$3:N266))),IF(COUNTIF($N$3:N266,"羊")=0,10^9,LOOKUP(2,1/($N$3:N266="羊"),ROW($N$3:N266))),IF(COUNTIF($N$3:N266,"猴")=0,10^9,LOOKUP(2,1/($N$3:N266="猴"),ROW($N$3:N266))),IF(COUNTIF($N$3:N266,"鸡")=0,10^9,LOOKUP(2,1/($N$3:N266="鸡"),ROW($N$3:N266))),IF(COUNTIF($N$3:N266,"狗")=0,10^9,LOOKUP(2,1/($N$3:N266="狗"),ROW($N$3:N266))),IF(COUNTIF($N$3:N266,"猪")=0,10^9,LOOKUP(2,1/($N$3:N266="猪"),ROW($N$3:N266))))-ROW($N$3)+1),""))),0,IF(ISNUMBER(J266),J266+1,1)))</f>
        <v/>
      </c>
      <c r="K267" s="5" t="e">
        <f t="shared" si="30"/>
        <v>#N/A</v>
      </c>
      <c r="M267" s="6" t="str">
        <f t="shared" si="26"/>
        <v/>
      </c>
      <c r="N267" s="2" t="e">
        <f t="shared" si="27"/>
        <v>#N/A</v>
      </c>
      <c r="O267" s="7" t="str">
        <f>IF(M267="","",IF(COUNTIF(M268:$M$1000,M267)&gt;0,"",M267))</f>
        <v/>
      </c>
      <c r="P267" s="8" t="e">
        <f>IF(N267="","",IF(COUNTIF(N268:$N$1000,N267)&gt;0,"",N267))</f>
        <v>#N/A</v>
      </c>
      <c r="Q267" s="21" t="e">
        <f t="shared" si="28"/>
        <v>#NUM!</v>
      </c>
      <c r="R267" s="22" t="e">
        <f t="shared" si="29"/>
        <v>#NUM!</v>
      </c>
      <c r="S267" s="11"/>
      <c r="T267" s="11"/>
      <c r="U267" s="11"/>
      <c r="W267" s="11"/>
      <c r="X267" s="2"/>
      <c r="Y267" s="2"/>
    </row>
    <row r="268" s="1" customFormat="1" spans="1:25">
      <c r="A268" s="2">
        <v>115056903</v>
      </c>
      <c r="B268" s="2"/>
      <c r="C268" s="2"/>
      <c r="D268" s="2"/>
      <c r="E268" s="2"/>
      <c r="F268" s="2"/>
      <c r="G268" s="2"/>
      <c r="H268" s="3"/>
      <c r="I268" s="2" t="e">
        <f t="shared" si="25"/>
        <v>#N/A</v>
      </c>
      <c r="J268" s="4" t="str">
        <f>IF(H268="","",IF(OR(AND(M268&lt;&gt;"",M268=IFERROR(INDEX($M$3:M267,MIN(IF(COUNTIF($M$3:M267,"0")=0,10^9,LOOKUP(2,1/($M$3:M267="0"),ROW($M$3:M267))),IF(COUNTIF($M$3:M267,"1")=0,10^9,LOOKUP(2,1/($M$3:M267="1"),ROW($M$3:M267))),IF(COUNTIF($M$3:M267,"2")=0,10^9,LOOKUP(2,1/($M$3:M267="2"),ROW($M$3:M267))),IF(COUNTIF($M$3:M267,"3")=0,10^9,LOOKUP(2,1/($M$3:M267="3"),ROW($M$3:M267))),IF(COUNTIF($M$3:M267,"4")=0,10^9,LOOKUP(2,1/($M$3:M267="4"),ROW($M$3:M267))),IF(COUNTIF($M$3:M267,"5")=0,10^9,LOOKUP(2,1/($M$3:M267="5"),ROW($M$3:M267))),IF(COUNTIF($M$3:M267,"6")=0,10^9,LOOKUP(2,1/($M$3:M267="6"),ROW($M$3:M267))),IF(COUNTIF($M$3:M267,"7")=0,10^9,LOOKUP(2,1/($M$3:M267="7"),ROW($M$3:M267))),IF(COUNTIF($M$3:M267,"8")=0,10^9,LOOKUP(2,1/($M$3:M267="8"),ROW($M$3:M267))),IF(COUNTIF($M$3:M267,"9")=0,10^9,LOOKUP(2,1/($M$3:M267="9"),ROW($M$3:M267))))-ROW($M$3)+1),"")),AND(N268&lt;&gt;"",N268=IFERROR(INDEX($N$3:N267,MIN(IF(COUNTIF($N$3:N267,"鼠")=0,10^9,LOOKUP(2,1/($N$3:N267="鼠"),ROW($N$3:N267))),IF(COUNTIF($N$3:N267,"牛")=0,10^9,LOOKUP(2,1/($N$3:N267="牛"),ROW($N$3:N267))),IF(COUNTIF($N$3:N267,"虎")=0,10^9,LOOKUP(2,1/($N$3:N267="虎"),ROW($N$3:N267))),IF(COUNTIF($N$3:N267,"兔")=0,10^9,LOOKUP(2,1/($N$3:N267="兔"),ROW($N$3:N267))),IF(COUNTIF($N$3:N267,"龙")=0,10^9,LOOKUP(2,1/($N$3:N267="龙"),ROW($N$3:N267))),IF(COUNTIF($N$3:N267,"蛇")=0,10^9,LOOKUP(2,1/($N$3:N267="蛇"),ROW($N$3:N267))),IF(COUNTIF($N$3:N267,"马")=0,10^9,LOOKUP(2,1/($N$3:N267="马"),ROW($N$3:N267))),IF(COUNTIF($N$3:N267,"羊")=0,10^9,LOOKUP(2,1/($N$3:N267="羊"),ROW($N$3:N267))),IF(COUNTIF($N$3:N267,"猴")=0,10^9,LOOKUP(2,1/($N$3:N267="猴"),ROW($N$3:N267))),IF(COUNTIF($N$3:N267,"鸡")=0,10^9,LOOKUP(2,1/($N$3:N267="鸡"),ROW($N$3:N267))),IF(COUNTIF($N$3:N267,"狗")=0,10^9,LOOKUP(2,1/($N$3:N267="狗"),ROW($N$3:N267))),IF(COUNTIF($N$3:N267,"猪")=0,10^9,LOOKUP(2,1/($N$3:N267="猪"),ROW($N$3:N267))))-ROW($N$3)+1),""))),0,IF(ISNUMBER(J267),J267+1,1)))</f>
        <v/>
      </c>
      <c r="K268" s="5" t="e">
        <f t="shared" si="30"/>
        <v>#N/A</v>
      </c>
      <c r="M268" s="6" t="str">
        <f t="shared" si="26"/>
        <v/>
      </c>
      <c r="N268" s="2" t="e">
        <f t="shared" si="27"/>
        <v>#N/A</v>
      </c>
      <c r="O268" s="7" t="str">
        <f>IF(M268="","",IF(COUNTIF(M269:$M$1000,M268)&gt;0,"",M268))</f>
        <v/>
      </c>
      <c r="P268" s="8" t="e">
        <f>IF(N268="","",IF(COUNTIF(N269:$N$1000,N268)&gt;0,"",N268))</f>
        <v>#N/A</v>
      </c>
      <c r="Q268" s="21" t="e">
        <f t="shared" si="28"/>
        <v>#NUM!</v>
      </c>
      <c r="R268" s="22" t="e">
        <f t="shared" si="29"/>
        <v>#NUM!</v>
      </c>
      <c r="S268" s="11"/>
      <c r="T268" s="11"/>
      <c r="U268" s="11"/>
      <c r="W268" s="11"/>
      <c r="X268" s="2"/>
      <c r="Y268" s="2"/>
    </row>
    <row r="269" s="1" customFormat="1" spans="1:25">
      <c r="A269" s="2">
        <v>115056904</v>
      </c>
      <c r="B269" s="2"/>
      <c r="C269" s="2"/>
      <c r="D269" s="2"/>
      <c r="E269" s="2"/>
      <c r="F269" s="2"/>
      <c r="G269" s="2"/>
      <c r="H269" s="3"/>
      <c r="I269" s="2" t="e">
        <f t="shared" si="25"/>
        <v>#N/A</v>
      </c>
      <c r="J269" s="4" t="str">
        <f>IF(H269="","",IF(OR(AND(M269&lt;&gt;"",M269=IFERROR(INDEX($M$3:M268,MIN(IF(COUNTIF($M$3:M268,"0")=0,10^9,LOOKUP(2,1/($M$3:M268="0"),ROW($M$3:M268))),IF(COUNTIF($M$3:M268,"1")=0,10^9,LOOKUP(2,1/($M$3:M268="1"),ROW($M$3:M268))),IF(COUNTIF($M$3:M268,"2")=0,10^9,LOOKUP(2,1/($M$3:M268="2"),ROW($M$3:M268))),IF(COUNTIF($M$3:M268,"3")=0,10^9,LOOKUP(2,1/($M$3:M268="3"),ROW($M$3:M268))),IF(COUNTIF($M$3:M268,"4")=0,10^9,LOOKUP(2,1/($M$3:M268="4"),ROW($M$3:M268))),IF(COUNTIF($M$3:M268,"5")=0,10^9,LOOKUP(2,1/($M$3:M268="5"),ROW($M$3:M268))),IF(COUNTIF($M$3:M268,"6")=0,10^9,LOOKUP(2,1/($M$3:M268="6"),ROW($M$3:M268))),IF(COUNTIF($M$3:M268,"7")=0,10^9,LOOKUP(2,1/($M$3:M268="7"),ROW($M$3:M268))),IF(COUNTIF($M$3:M268,"8")=0,10^9,LOOKUP(2,1/($M$3:M268="8"),ROW($M$3:M268))),IF(COUNTIF($M$3:M268,"9")=0,10^9,LOOKUP(2,1/($M$3:M268="9"),ROW($M$3:M268))))-ROW($M$3)+1),"")),AND(N269&lt;&gt;"",N269=IFERROR(INDEX($N$3:N268,MIN(IF(COUNTIF($N$3:N268,"鼠")=0,10^9,LOOKUP(2,1/($N$3:N268="鼠"),ROW($N$3:N268))),IF(COUNTIF($N$3:N268,"牛")=0,10^9,LOOKUP(2,1/($N$3:N268="牛"),ROW($N$3:N268))),IF(COUNTIF($N$3:N268,"虎")=0,10^9,LOOKUP(2,1/($N$3:N268="虎"),ROW($N$3:N268))),IF(COUNTIF($N$3:N268,"兔")=0,10^9,LOOKUP(2,1/($N$3:N268="兔"),ROW($N$3:N268))),IF(COUNTIF($N$3:N268,"龙")=0,10^9,LOOKUP(2,1/($N$3:N268="龙"),ROW($N$3:N268))),IF(COUNTIF($N$3:N268,"蛇")=0,10^9,LOOKUP(2,1/($N$3:N268="蛇"),ROW($N$3:N268))),IF(COUNTIF($N$3:N268,"马")=0,10^9,LOOKUP(2,1/($N$3:N268="马"),ROW($N$3:N268))),IF(COUNTIF($N$3:N268,"羊")=0,10^9,LOOKUP(2,1/($N$3:N268="羊"),ROW($N$3:N268))),IF(COUNTIF($N$3:N268,"猴")=0,10^9,LOOKUP(2,1/($N$3:N268="猴"),ROW($N$3:N268))),IF(COUNTIF($N$3:N268,"鸡")=0,10^9,LOOKUP(2,1/($N$3:N268="鸡"),ROW($N$3:N268))),IF(COUNTIF($N$3:N268,"狗")=0,10^9,LOOKUP(2,1/($N$3:N268="狗"),ROW($N$3:N268))),IF(COUNTIF($N$3:N268,"猪")=0,10^9,LOOKUP(2,1/($N$3:N268="猪"),ROW($N$3:N268))))-ROW($N$3)+1),""))),0,IF(ISNUMBER(J268),J268+1,1)))</f>
        <v/>
      </c>
      <c r="K269" s="5" t="e">
        <f t="shared" si="30"/>
        <v>#N/A</v>
      </c>
      <c r="M269" s="6" t="str">
        <f t="shared" si="26"/>
        <v/>
      </c>
      <c r="N269" s="2" t="e">
        <f t="shared" si="27"/>
        <v>#N/A</v>
      </c>
      <c r="O269" s="7" t="str">
        <f>IF(M269="","",IF(COUNTIF(M270:$M$1000,M269)&gt;0,"",M269))</f>
        <v/>
      </c>
      <c r="P269" s="8" t="e">
        <f>IF(N269="","",IF(COUNTIF(N270:$N$1000,N269)&gt;0,"",N269))</f>
        <v>#N/A</v>
      </c>
      <c r="Q269" s="21" t="e">
        <f t="shared" si="28"/>
        <v>#NUM!</v>
      </c>
      <c r="R269" s="22" t="e">
        <f t="shared" si="29"/>
        <v>#NUM!</v>
      </c>
      <c r="S269" s="11"/>
      <c r="T269" s="11"/>
      <c r="U269" s="11"/>
      <c r="W269" s="11"/>
      <c r="X269" s="2"/>
      <c r="Y269" s="2"/>
    </row>
    <row r="270" s="1" customFormat="1" spans="1:25">
      <c r="A270" s="2">
        <v>115056905</v>
      </c>
      <c r="B270" s="2"/>
      <c r="C270" s="2"/>
      <c r="D270" s="2"/>
      <c r="E270" s="2"/>
      <c r="F270" s="2"/>
      <c r="G270" s="2"/>
      <c r="H270" s="3"/>
      <c r="I270" s="2" t="e">
        <f t="shared" si="25"/>
        <v>#N/A</v>
      </c>
      <c r="J270" s="4" t="str">
        <f>IF(H270="","",IF(OR(AND(M270&lt;&gt;"",M270=IFERROR(INDEX($M$3:M269,MIN(IF(COUNTIF($M$3:M269,"0")=0,10^9,LOOKUP(2,1/($M$3:M269="0"),ROW($M$3:M269))),IF(COUNTIF($M$3:M269,"1")=0,10^9,LOOKUP(2,1/($M$3:M269="1"),ROW($M$3:M269))),IF(COUNTIF($M$3:M269,"2")=0,10^9,LOOKUP(2,1/($M$3:M269="2"),ROW($M$3:M269))),IF(COUNTIF($M$3:M269,"3")=0,10^9,LOOKUP(2,1/($M$3:M269="3"),ROW($M$3:M269))),IF(COUNTIF($M$3:M269,"4")=0,10^9,LOOKUP(2,1/($M$3:M269="4"),ROW($M$3:M269))),IF(COUNTIF($M$3:M269,"5")=0,10^9,LOOKUP(2,1/($M$3:M269="5"),ROW($M$3:M269))),IF(COUNTIF($M$3:M269,"6")=0,10^9,LOOKUP(2,1/($M$3:M269="6"),ROW($M$3:M269))),IF(COUNTIF($M$3:M269,"7")=0,10^9,LOOKUP(2,1/($M$3:M269="7"),ROW($M$3:M269))),IF(COUNTIF($M$3:M269,"8")=0,10^9,LOOKUP(2,1/($M$3:M269="8"),ROW($M$3:M269))),IF(COUNTIF($M$3:M269,"9")=0,10^9,LOOKUP(2,1/($M$3:M269="9"),ROW($M$3:M269))))-ROW($M$3)+1),"")),AND(N270&lt;&gt;"",N270=IFERROR(INDEX($N$3:N269,MIN(IF(COUNTIF($N$3:N269,"鼠")=0,10^9,LOOKUP(2,1/($N$3:N269="鼠"),ROW($N$3:N269))),IF(COUNTIF($N$3:N269,"牛")=0,10^9,LOOKUP(2,1/($N$3:N269="牛"),ROW($N$3:N269))),IF(COUNTIF($N$3:N269,"虎")=0,10^9,LOOKUP(2,1/($N$3:N269="虎"),ROW($N$3:N269))),IF(COUNTIF($N$3:N269,"兔")=0,10^9,LOOKUP(2,1/($N$3:N269="兔"),ROW($N$3:N269))),IF(COUNTIF($N$3:N269,"龙")=0,10^9,LOOKUP(2,1/($N$3:N269="龙"),ROW($N$3:N269))),IF(COUNTIF($N$3:N269,"蛇")=0,10^9,LOOKUP(2,1/($N$3:N269="蛇"),ROW($N$3:N269))),IF(COUNTIF($N$3:N269,"马")=0,10^9,LOOKUP(2,1/($N$3:N269="马"),ROW($N$3:N269))),IF(COUNTIF($N$3:N269,"羊")=0,10^9,LOOKUP(2,1/($N$3:N269="羊"),ROW($N$3:N269))),IF(COUNTIF($N$3:N269,"猴")=0,10^9,LOOKUP(2,1/($N$3:N269="猴"),ROW($N$3:N269))),IF(COUNTIF($N$3:N269,"鸡")=0,10^9,LOOKUP(2,1/($N$3:N269="鸡"),ROW($N$3:N269))),IF(COUNTIF($N$3:N269,"狗")=0,10^9,LOOKUP(2,1/($N$3:N269="狗"),ROW($N$3:N269))),IF(COUNTIF($N$3:N269,"猪")=0,10^9,LOOKUP(2,1/($N$3:N269="猪"),ROW($N$3:N269))))-ROW($N$3)+1),""))),0,IF(ISNUMBER(J269),J269+1,1)))</f>
        <v/>
      </c>
      <c r="K270" s="5" t="e">
        <f t="shared" si="30"/>
        <v>#N/A</v>
      </c>
      <c r="M270" s="6" t="str">
        <f t="shared" si="26"/>
        <v/>
      </c>
      <c r="N270" s="2" t="e">
        <f t="shared" si="27"/>
        <v>#N/A</v>
      </c>
      <c r="O270" s="7" t="str">
        <f>IF(M270="","",IF(COUNTIF(M271:$M$1000,M270)&gt;0,"",M270))</f>
        <v/>
      </c>
      <c r="P270" s="8" t="e">
        <f>IF(N270="","",IF(COUNTIF(N271:$N$1000,N270)&gt;0,"",N270))</f>
        <v>#N/A</v>
      </c>
      <c r="Q270" s="21" t="e">
        <f t="shared" si="28"/>
        <v>#NUM!</v>
      </c>
      <c r="R270" s="22" t="e">
        <f t="shared" si="29"/>
        <v>#NUM!</v>
      </c>
      <c r="S270" s="11"/>
      <c r="T270" s="11"/>
      <c r="U270" s="11"/>
      <c r="W270" s="11"/>
      <c r="X270" s="2"/>
      <c r="Y270" s="2"/>
    </row>
    <row r="271" s="1" customFormat="1" spans="1:25">
      <c r="A271" s="2">
        <v>115056906</v>
      </c>
      <c r="B271" s="2"/>
      <c r="C271" s="2"/>
      <c r="D271" s="2"/>
      <c r="E271" s="2"/>
      <c r="F271" s="2"/>
      <c r="G271" s="2"/>
      <c r="H271" s="3"/>
      <c r="I271" s="2" t="e">
        <f t="shared" si="25"/>
        <v>#N/A</v>
      </c>
      <c r="J271" s="4" t="str">
        <f>IF(H271="","",IF(OR(AND(M271&lt;&gt;"",M271=IFERROR(INDEX($M$3:M270,MIN(IF(COUNTIF($M$3:M270,"0")=0,10^9,LOOKUP(2,1/($M$3:M270="0"),ROW($M$3:M270))),IF(COUNTIF($M$3:M270,"1")=0,10^9,LOOKUP(2,1/($M$3:M270="1"),ROW($M$3:M270))),IF(COUNTIF($M$3:M270,"2")=0,10^9,LOOKUP(2,1/($M$3:M270="2"),ROW($M$3:M270))),IF(COUNTIF($M$3:M270,"3")=0,10^9,LOOKUP(2,1/($M$3:M270="3"),ROW($M$3:M270))),IF(COUNTIF($M$3:M270,"4")=0,10^9,LOOKUP(2,1/($M$3:M270="4"),ROW($M$3:M270))),IF(COUNTIF($M$3:M270,"5")=0,10^9,LOOKUP(2,1/($M$3:M270="5"),ROW($M$3:M270))),IF(COUNTIF($M$3:M270,"6")=0,10^9,LOOKUP(2,1/($M$3:M270="6"),ROW($M$3:M270))),IF(COUNTIF($M$3:M270,"7")=0,10^9,LOOKUP(2,1/($M$3:M270="7"),ROW($M$3:M270))),IF(COUNTIF($M$3:M270,"8")=0,10^9,LOOKUP(2,1/($M$3:M270="8"),ROW($M$3:M270))),IF(COUNTIF($M$3:M270,"9")=0,10^9,LOOKUP(2,1/($M$3:M270="9"),ROW($M$3:M270))))-ROW($M$3)+1),"")),AND(N271&lt;&gt;"",N271=IFERROR(INDEX($N$3:N270,MIN(IF(COUNTIF($N$3:N270,"鼠")=0,10^9,LOOKUP(2,1/($N$3:N270="鼠"),ROW($N$3:N270))),IF(COUNTIF($N$3:N270,"牛")=0,10^9,LOOKUP(2,1/($N$3:N270="牛"),ROW($N$3:N270))),IF(COUNTIF($N$3:N270,"虎")=0,10^9,LOOKUP(2,1/($N$3:N270="虎"),ROW($N$3:N270))),IF(COUNTIF($N$3:N270,"兔")=0,10^9,LOOKUP(2,1/($N$3:N270="兔"),ROW($N$3:N270))),IF(COUNTIF($N$3:N270,"龙")=0,10^9,LOOKUP(2,1/($N$3:N270="龙"),ROW($N$3:N270))),IF(COUNTIF($N$3:N270,"蛇")=0,10^9,LOOKUP(2,1/($N$3:N270="蛇"),ROW($N$3:N270))),IF(COUNTIF($N$3:N270,"马")=0,10^9,LOOKUP(2,1/($N$3:N270="马"),ROW($N$3:N270))),IF(COUNTIF($N$3:N270,"羊")=0,10^9,LOOKUP(2,1/($N$3:N270="羊"),ROW($N$3:N270))),IF(COUNTIF($N$3:N270,"猴")=0,10^9,LOOKUP(2,1/($N$3:N270="猴"),ROW($N$3:N270))),IF(COUNTIF($N$3:N270,"鸡")=0,10^9,LOOKUP(2,1/($N$3:N270="鸡"),ROW($N$3:N270))),IF(COUNTIF($N$3:N270,"狗")=0,10^9,LOOKUP(2,1/($N$3:N270="狗"),ROW($N$3:N270))),IF(COUNTIF($N$3:N270,"猪")=0,10^9,LOOKUP(2,1/($N$3:N270="猪"),ROW($N$3:N270))))-ROW($N$3)+1),""))),0,IF(ISNUMBER(J270),J270+1,1)))</f>
        <v/>
      </c>
      <c r="K271" s="5" t="e">
        <f t="shared" si="30"/>
        <v>#N/A</v>
      </c>
      <c r="M271" s="6" t="str">
        <f t="shared" si="26"/>
        <v/>
      </c>
      <c r="N271" s="2" t="e">
        <f t="shared" si="27"/>
        <v>#N/A</v>
      </c>
      <c r="O271" s="7" t="str">
        <f>IF(M271="","",IF(COUNTIF(M272:$M$1000,M271)&gt;0,"",M271))</f>
        <v/>
      </c>
      <c r="P271" s="8" t="e">
        <f>IF(N271="","",IF(COUNTIF(N272:$N$1000,N271)&gt;0,"",N271))</f>
        <v>#N/A</v>
      </c>
      <c r="Q271" s="21" t="e">
        <f t="shared" si="28"/>
        <v>#NUM!</v>
      </c>
      <c r="R271" s="22" t="e">
        <f t="shared" si="29"/>
        <v>#NUM!</v>
      </c>
      <c r="S271" s="11"/>
      <c r="T271" s="11"/>
      <c r="U271" s="11"/>
      <c r="W271" s="11"/>
      <c r="X271" s="2"/>
      <c r="Y271" s="2"/>
    </row>
    <row r="272" s="1" customFormat="1" spans="1:25">
      <c r="A272" s="2">
        <v>115056907</v>
      </c>
      <c r="B272" s="2"/>
      <c r="C272" s="2"/>
      <c r="D272" s="2"/>
      <c r="E272" s="2"/>
      <c r="F272" s="2"/>
      <c r="G272" s="2"/>
      <c r="H272" s="3"/>
      <c r="I272" s="2" t="e">
        <f t="shared" si="25"/>
        <v>#N/A</v>
      </c>
      <c r="J272" s="4" t="str">
        <f>IF(H272="","",IF(OR(AND(M272&lt;&gt;"",M272=IFERROR(INDEX($M$3:M271,MIN(IF(COUNTIF($M$3:M271,"0")=0,10^9,LOOKUP(2,1/($M$3:M271="0"),ROW($M$3:M271))),IF(COUNTIF($M$3:M271,"1")=0,10^9,LOOKUP(2,1/($M$3:M271="1"),ROW($M$3:M271))),IF(COUNTIF($M$3:M271,"2")=0,10^9,LOOKUP(2,1/($M$3:M271="2"),ROW($M$3:M271))),IF(COUNTIF($M$3:M271,"3")=0,10^9,LOOKUP(2,1/($M$3:M271="3"),ROW($M$3:M271))),IF(COUNTIF($M$3:M271,"4")=0,10^9,LOOKUP(2,1/($M$3:M271="4"),ROW($M$3:M271))),IF(COUNTIF($M$3:M271,"5")=0,10^9,LOOKUP(2,1/($M$3:M271="5"),ROW($M$3:M271))),IF(COUNTIF($M$3:M271,"6")=0,10^9,LOOKUP(2,1/($M$3:M271="6"),ROW($M$3:M271))),IF(COUNTIF($M$3:M271,"7")=0,10^9,LOOKUP(2,1/($M$3:M271="7"),ROW($M$3:M271))),IF(COUNTIF($M$3:M271,"8")=0,10^9,LOOKUP(2,1/($M$3:M271="8"),ROW($M$3:M271))),IF(COUNTIF($M$3:M271,"9")=0,10^9,LOOKUP(2,1/($M$3:M271="9"),ROW($M$3:M271))))-ROW($M$3)+1),"")),AND(N272&lt;&gt;"",N272=IFERROR(INDEX($N$3:N271,MIN(IF(COUNTIF($N$3:N271,"鼠")=0,10^9,LOOKUP(2,1/($N$3:N271="鼠"),ROW($N$3:N271))),IF(COUNTIF($N$3:N271,"牛")=0,10^9,LOOKUP(2,1/($N$3:N271="牛"),ROW($N$3:N271))),IF(COUNTIF($N$3:N271,"虎")=0,10^9,LOOKUP(2,1/($N$3:N271="虎"),ROW($N$3:N271))),IF(COUNTIF($N$3:N271,"兔")=0,10^9,LOOKUP(2,1/($N$3:N271="兔"),ROW($N$3:N271))),IF(COUNTIF($N$3:N271,"龙")=0,10^9,LOOKUP(2,1/($N$3:N271="龙"),ROW($N$3:N271))),IF(COUNTIF($N$3:N271,"蛇")=0,10^9,LOOKUP(2,1/($N$3:N271="蛇"),ROW($N$3:N271))),IF(COUNTIF($N$3:N271,"马")=0,10^9,LOOKUP(2,1/($N$3:N271="马"),ROW($N$3:N271))),IF(COUNTIF($N$3:N271,"羊")=0,10^9,LOOKUP(2,1/($N$3:N271="羊"),ROW($N$3:N271))),IF(COUNTIF($N$3:N271,"猴")=0,10^9,LOOKUP(2,1/($N$3:N271="猴"),ROW($N$3:N271))),IF(COUNTIF($N$3:N271,"鸡")=0,10^9,LOOKUP(2,1/($N$3:N271="鸡"),ROW($N$3:N271))),IF(COUNTIF($N$3:N271,"狗")=0,10^9,LOOKUP(2,1/($N$3:N271="狗"),ROW($N$3:N271))),IF(COUNTIF($N$3:N271,"猪")=0,10^9,LOOKUP(2,1/($N$3:N271="猪"),ROW($N$3:N271))))-ROW($N$3)+1),""))),0,IF(ISNUMBER(J271),J271+1,1)))</f>
        <v/>
      </c>
      <c r="K272" s="5" t="e">
        <f t="shared" si="30"/>
        <v>#N/A</v>
      </c>
      <c r="M272" s="6" t="str">
        <f t="shared" si="26"/>
        <v/>
      </c>
      <c r="N272" s="2" t="e">
        <f t="shared" si="27"/>
        <v>#N/A</v>
      </c>
      <c r="O272" s="7" t="str">
        <f>IF(M272="","",IF(COUNTIF(M273:$M$1000,M272)&gt;0,"",M272))</f>
        <v/>
      </c>
      <c r="P272" s="8" t="e">
        <f>IF(N272="","",IF(COUNTIF(N273:$N$1000,N272)&gt;0,"",N272))</f>
        <v>#N/A</v>
      </c>
      <c r="Q272" s="21" t="e">
        <f t="shared" si="28"/>
        <v>#NUM!</v>
      </c>
      <c r="R272" s="22" t="e">
        <f t="shared" si="29"/>
        <v>#NUM!</v>
      </c>
      <c r="S272" s="11"/>
      <c r="T272" s="11"/>
      <c r="U272" s="11"/>
      <c r="W272" s="11"/>
      <c r="X272" s="2"/>
      <c r="Y272" s="2"/>
    </row>
    <row r="273" s="1" customFormat="1" spans="1:25">
      <c r="A273" s="2">
        <v>115056908</v>
      </c>
      <c r="B273" s="2"/>
      <c r="C273" s="2"/>
      <c r="D273" s="2"/>
      <c r="E273" s="2"/>
      <c r="F273" s="2"/>
      <c r="G273" s="2"/>
      <c r="H273" s="3"/>
      <c r="I273" s="2" t="e">
        <f t="shared" si="25"/>
        <v>#N/A</v>
      </c>
      <c r="J273" s="4" t="str">
        <f>IF(H273="","",IF(OR(AND(M273&lt;&gt;"",M273=IFERROR(INDEX($M$3:M272,MIN(IF(COUNTIF($M$3:M272,"0")=0,10^9,LOOKUP(2,1/($M$3:M272="0"),ROW($M$3:M272))),IF(COUNTIF($M$3:M272,"1")=0,10^9,LOOKUP(2,1/($M$3:M272="1"),ROW($M$3:M272))),IF(COUNTIF($M$3:M272,"2")=0,10^9,LOOKUP(2,1/($M$3:M272="2"),ROW($M$3:M272))),IF(COUNTIF($M$3:M272,"3")=0,10^9,LOOKUP(2,1/($M$3:M272="3"),ROW($M$3:M272))),IF(COUNTIF($M$3:M272,"4")=0,10^9,LOOKUP(2,1/($M$3:M272="4"),ROW($M$3:M272))),IF(COUNTIF($M$3:M272,"5")=0,10^9,LOOKUP(2,1/($M$3:M272="5"),ROW($M$3:M272))),IF(COUNTIF($M$3:M272,"6")=0,10^9,LOOKUP(2,1/($M$3:M272="6"),ROW($M$3:M272))),IF(COUNTIF($M$3:M272,"7")=0,10^9,LOOKUP(2,1/($M$3:M272="7"),ROW($M$3:M272))),IF(COUNTIF($M$3:M272,"8")=0,10^9,LOOKUP(2,1/($M$3:M272="8"),ROW($M$3:M272))),IF(COUNTIF($M$3:M272,"9")=0,10^9,LOOKUP(2,1/($M$3:M272="9"),ROW($M$3:M272))))-ROW($M$3)+1),"")),AND(N273&lt;&gt;"",N273=IFERROR(INDEX($N$3:N272,MIN(IF(COUNTIF($N$3:N272,"鼠")=0,10^9,LOOKUP(2,1/($N$3:N272="鼠"),ROW($N$3:N272))),IF(COUNTIF($N$3:N272,"牛")=0,10^9,LOOKUP(2,1/($N$3:N272="牛"),ROW($N$3:N272))),IF(COUNTIF($N$3:N272,"虎")=0,10^9,LOOKUP(2,1/($N$3:N272="虎"),ROW($N$3:N272))),IF(COUNTIF($N$3:N272,"兔")=0,10^9,LOOKUP(2,1/($N$3:N272="兔"),ROW($N$3:N272))),IF(COUNTIF($N$3:N272,"龙")=0,10^9,LOOKUP(2,1/($N$3:N272="龙"),ROW($N$3:N272))),IF(COUNTIF($N$3:N272,"蛇")=0,10^9,LOOKUP(2,1/($N$3:N272="蛇"),ROW($N$3:N272))),IF(COUNTIF($N$3:N272,"马")=0,10^9,LOOKUP(2,1/($N$3:N272="马"),ROW($N$3:N272))),IF(COUNTIF($N$3:N272,"羊")=0,10^9,LOOKUP(2,1/($N$3:N272="羊"),ROW($N$3:N272))),IF(COUNTIF($N$3:N272,"猴")=0,10^9,LOOKUP(2,1/($N$3:N272="猴"),ROW($N$3:N272))),IF(COUNTIF($N$3:N272,"鸡")=0,10^9,LOOKUP(2,1/($N$3:N272="鸡"),ROW($N$3:N272))),IF(COUNTIF($N$3:N272,"狗")=0,10^9,LOOKUP(2,1/($N$3:N272="狗"),ROW($N$3:N272))),IF(COUNTIF($N$3:N272,"猪")=0,10^9,LOOKUP(2,1/($N$3:N272="猪"),ROW($N$3:N272))))-ROW($N$3)+1),""))),0,IF(ISNUMBER(J272),J272+1,1)))</f>
        <v/>
      </c>
      <c r="K273" s="5" t="e">
        <f t="shared" si="30"/>
        <v>#N/A</v>
      </c>
      <c r="M273" s="6" t="str">
        <f t="shared" si="26"/>
        <v/>
      </c>
      <c r="N273" s="2" t="e">
        <f t="shared" si="27"/>
        <v>#N/A</v>
      </c>
      <c r="O273" s="7" t="str">
        <f>IF(M273="","",IF(COUNTIF(M274:$M$1000,M273)&gt;0,"",M273))</f>
        <v/>
      </c>
      <c r="P273" s="8" t="e">
        <f>IF(N273="","",IF(COUNTIF(N274:$N$1000,N273)&gt;0,"",N273))</f>
        <v>#N/A</v>
      </c>
      <c r="Q273" s="21" t="e">
        <f t="shared" si="28"/>
        <v>#NUM!</v>
      </c>
      <c r="R273" s="22" t="e">
        <f t="shared" si="29"/>
        <v>#NUM!</v>
      </c>
      <c r="S273" s="11"/>
      <c r="T273" s="11"/>
      <c r="U273" s="11"/>
      <c r="W273" s="11"/>
      <c r="X273" s="2"/>
      <c r="Y273" s="2"/>
    </row>
    <row r="274" s="1" customFormat="1" spans="1:25">
      <c r="A274" s="2">
        <v>115056909</v>
      </c>
      <c r="B274" s="2"/>
      <c r="C274" s="2"/>
      <c r="D274" s="2"/>
      <c r="E274" s="2"/>
      <c r="F274" s="2"/>
      <c r="G274" s="2"/>
      <c r="H274" s="3"/>
      <c r="I274" s="2" t="e">
        <f t="shared" si="25"/>
        <v>#N/A</v>
      </c>
      <c r="J274" s="4" t="str">
        <f>IF(H274="","",IF(OR(AND(M274&lt;&gt;"",M274=IFERROR(INDEX($M$3:M273,MIN(IF(COUNTIF($M$3:M273,"0")=0,10^9,LOOKUP(2,1/($M$3:M273="0"),ROW($M$3:M273))),IF(COUNTIF($M$3:M273,"1")=0,10^9,LOOKUP(2,1/($M$3:M273="1"),ROW($M$3:M273))),IF(COUNTIF($M$3:M273,"2")=0,10^9,LOOKUP(2,1/($M$3:M273="2"),ROW($M$3:M273))),IF(COUNTIF($M$3:M273,"3")=0,10^9,LOOKUP(2,1/($M$3:M273="3"),ROW($M$3:M273))),IF(COUNTIF($M$3:M273,"4")=0,10^9,LOOKUP(2,1/($M$3:M273="4"),ROW($M$3:M273))),IF(COUNTIF($M$3:M273,"5")=0,10^9,LOOKUP(2,1/($M$3:M273="5"),ROW($M$3:M273))),IF(COUNTIF($M$3:M273,"6")=0,10^9,LOOKUP(2,1/($M$3:M273="6"),ROW($M$3:M273))),IF(COUNTIF($M$3:M273,"7")=0,10^9,LOOKUP(2,1/($M$3:M273="7"),ROW($M$3:M273))),IF(COUNTIF($M$3:M273,"8")=0,10^9,LOOKUP(2,1/($M$3:M273="8"),ROW($M$3:M273))),IF(COUNTIF($M$3:M273,"9")=0,10^9,LOOKUP(2,1/($M$3:M273="9"),ROW($M$3:M273))))-ROW($M$3)+1),"")),AND(N274&lt;&gt;"",N274=IFERROR(INDEX($N$3:N273,MIN(IF(COUNTIF($N$3:N273,"鼠")=0,10^9,LOOKUP(2,1/($N$3:N273="鼠"),ROW($N$3:N273))),IF(COUNTIF($N$3:N273,"牛")=0,10^9,LOOKUP(2,1/($N$3:N273="牛"),ROW($N$3:N273))),IF(COUNTIF($N$3:N273,"虎")=0,10^9,LOOKUP(2,1/($N$3:N273="虎"),ROW($N$3:N273))),IF(COUNTIF($N$3:N273,"兔")=0,10^9,LOOKUP(2,1/($N$3:N273="兔"),ROW($N$3:N273))),IF(COUNTIF($N$3:N273,"龙")=0,10^9,LOOKUP(2,1/($N$3:N273="龙"),ROW($N$3:N273))),IF(COUNTIF($N$3:N273,"蛇")=0,10^9,LOOKUP(2,1/($N$3:N273="蛇"),ROW($N$3:N273))),IF(COUNTIF($N$3:N273,"马")=0,10^9,LOOKUP(2,1/($N$3:N273="马"),ROW($N$3:N273))),IF(COUNTIF($N$3:N273,"羊")=0,10^9,LOOKUP(2,1/($N$3:N273="羊"),ROW($N$3:N273))),IF(COUNTIF($N$3:N273,"猴")=0,10^9,LOOKUP(2,1/($N$3:N273="猴"),ROW($N$3:N273))),IF(COUNTIF($N$3:N273,"鸡")=0,10^9,LOOKUP(2,1/($N$3:N273="鸡"),ROW($N$3:N273))),IF(COUNTIF($N$3:N273,"狗")=0,10^9,LOOKUP(2,1/($N$3:N273="狗"),ROW($N$3:N273))),IF(COUNTIF($N$3:N273,"猪")=0,10^9,LOOKUP(2,1/($N$3:N273="猪"),ROW($N$3:N273))))-ROW($N$3)+1),""))),0,IF(ISNUMBER(J273),J273+1,1)))</f>
        <v/>
      </c>
      <c r="K274" s="5" t="e">
        <f t="shared" si="30"/>
        <v>#N/A</v>
      </c>
      <c r="M274" s="6" t="str">
        <f t="shared" si="26"/>
        <v/>
      </c>
      <c r="N274" s="2" t="e">
        <f t="shared" si="27"/>
        <v>#N/A</v>
      </c>
      <c r="O274" s="7" t="str">
        <f>IF(M274="","",IF(COUNTIF(M275:$M$1000,M274)&gt;0,"",M274))</f>
        <v/>
      </c>
      <c r="P274" s="8" t="e">
        <f>IF(N274="","",IF(COUNTIF(N275:$N$1000,N274)&gt;0,"",N274))</f>
        <v>#N/A</v>
      </c>
      <c r="Q274" s="21" t="e">
        <f t="shared" si="28"/>
        <v>#NUM!</v>
      </c>
      <c r="R274" s="22" t="e">
        <f t="shared" si="29"/>
        <v>#NUM!</v>
      </c>
      <c r="S274" s="11"/>
      <c r="T274" s="11"/>
      <c r="U274" s="11"/>
      <c r="W274" s="11"/>
      <c r="X274" s="2"/>
      <c r="Y274" s="2"/>
    </row>
    <row r="275" s="1" customFormat="1" spans="1:25">
      <c r="A275" s="2">
        <v>115056910</v>
      </c>
      <c r="B275" s="2"/>
      <c r="C275" s="2"/>
      <c r="D275" s="2"/>
      <c r="E275" s="2"/>
      <c r="F275" s="2"/>
      <c r="G275" s="2"/>
      <c r="H275" s="3"/>
      <c r="I275" s="2" t="e">
        <f t="shared" si="25"/>
        <v>#N/A</v>
      </c>
      <c r="J275" s="4" t="str">
        <f>IF(H275="","",IF(OR(AND(M275&lt;&gt;"",M275=IFERROR(INDEX($M$3:M274,MIN(IF(COUNTIF($M$3:M274,"0")=0,10^9,LOOKUP(2,1/($M$3:M274="0"),ROW($M$3:M274))),IF(COUNTIF($M$3:M274,"1")=0,10^9,LOOKUP(2,1/($M$3:M274="1"),ROW($M$3:M274))),IF(COUNTIF($M$3:M274,"2")=0,10^9,LOOKUP(2,1/($M$3:M274="2"),ROW($M$3:M274))),IF(COUNTIF($M$3:M274,"3")=0,10^9,LOOKUP(2,1/($M$3:M274="3"),ROW($M$3:M274))),IF(COUNTIF($M$3:M274,"4")=0,10^9,LOOKUP(2,1/($M$3:M274="4"),ROW($M$3:M274))),IF(COUNTIF($M$3:M274,"5")=0,10^9,LOOKUP(2,1/($M$3:M274="5"),ROW($M$3:M274))),IF(COUNTIF($M$3:M274,"6")=0,10^9,LOOKUP(2,1/($M$3:M274="6"),ROW($M$3:M274))),IF(COUNTIF($M$3:M274,"7")=0,10^9,LOOKUP(2,1/($M$3:M274="7"),ROW($M$3:M274))),IF(COUNTIF($M$3:M274,"8")=0,10^9,LOOKUP(2,1/($M$3:M274="8"),ROW($M$3:M274))),IF(COUNTIF($M$3:M274,"9")=0,10^9,LOOKUP(2,1/($M$3:M274="9"),ROW($M$3:M274))))-ROW($M$3)+1),"")),AND(N275&lt;&gt;"",N275=IFERROR(INDEX($N$3:N274,MIN(IF(COUNTIF($N$3:N274,"鼠")=0,10^9,LOOKUP(2,1/($N$3:N274="鼠"),ROW($N$3:N274))),IF(COUNTIF($N$3:N274,"牛")=0,10^9,LOOKUP(2,1/($N$3:N274="牛"),ROW($N$3:N274))),IF(COUNTIF($N$3:N274,"虎")=0,10^9,LOOKUP(2,1/($N$3:N274="虎"),ROW($N$3:N274))),IF(COUNTIF($N$3:N274,"兔")=0,10^9,LOOKUP(2,1/($N$3:N274="兔"),ROW($N$3:N274))),IF(COUNTIF($N$3:N274,"龙")=0,10^9,LOOKUP(2,1/($N$3:N274="龙"),ROW($N$3:N274))),IF(COUNTIF($N$3:N274,"蛇")=0,10^9,LOOKUP(2,1/($N$3:N274="蛇"),ROW($N$3:N274))),IF(COUNTIF($N$3:N274,"马")=0,10^9,LOOKUP(2,1/($N$3:N274="马"),ROW($N$3:N274))),IF(COUNTIF($N$3:N274,"羊")=0,10^9,LOOKUP(2,1/($N$3:N274="羊"),ROW($N$3:N274))),IF(COUNTIF($N$3:N274,"猴")=0,10^9,LOOKUP(2,1/($N$3:N274="猴"),ROW($N$3:N274))),IF(COUNTIF($N$3:N274,"鸡")=0,10^9,LOOKUP(2,1/($N$3:N274="鸡"),ROW($N$3:N274))),IF(COUNTIF($N$3:N274,"狗")=0,10^9,LOOKUP(2,1/($N$3:N274="狗"),ROW($N$3:N274))),IF(COUNTIF($N$3:N274,"猪")=0,10^9,LOOKUP(2,1/($N$3:N274="猪"),ROW($N$3:N274))))-ROW($N$3)+1),""))),0,IF(ISNUMBER(J274),J274+1,1)))</f>
        <v/>
      </c>
      <c r="K275" s="5" t="e">
        <f t="shared" si="30"/>
        <v>#N/A</v>
      </c>
      <c r="M275" s="6" t="str">
        <f t="shared" si="26"/>
        <v/>
      </c>
      <c r="N275" s="2" t="e">
        <f t="shared" si="27"/>
        <v>#N/A</v>
      </c>
      <c r="O275" s="7" t="str">
        <f>IF(M275="","",IF(COUNTIF(M276:$M$1000,M275)&gt;0,"",M275))</f>
        <v/>
      </c>
      <c r="P275" s="8" t="e">
        <f>IF(N275="","",IF(COUNTIF(N276:$N$1000,N275)&gt;0,"",N275))</f>
        <v>#N/A</v>
      </c>
      <c r="Q275" s="21" t="e">
        <f t="shared" si="28"/>
        <v>#NUM!</v>
      </c>
      <c r="R275" s="22" t="e">
        <f t="shared" si="29"/>
        <v>#NUM!</v>
      </c>
      <c r="S275" s="11"/>
      <c r="T275" s="11"/>
      <c r="U275" s="11"/>
      <c r="W275" s="11"/>
      <c r="X275" s="2"/>
      <c r="Y275" s="2"/>
    </row>
    <row r="276" s="1" customFormat="1" spans="1:25">
      <c r="A276" s="2">
        <v>115056911</v>
      </c>
      <c r="B276" s="2"/>
      <c r="C276" s="2"/>
      <c r="D276" s="2"/>
      <c r="E276" s="2"/>
      <c r="F276" s="2"/>
      <c r="G276" s="2"/>
      <c r="H276" s="3"/>
      <c r="I276" s="2" t="e">
        <f t="shared" si="25"/>
        <v>#N/A</v>
      </c>
      <c r="J276" s="4" t="str">
        <f>IF(H276="","",IF(OR(AND(M276&lt;&gt;"",M276=IFERROR(INDEX($M$3:M275,MIN(IF(COUNTIF($M$3:M275,"0")=0,10^9,LOOKUP(2,1/($M$3:M275="0"),ROW($M$3:M275))),IF(COUNTIF($M$3:M275,"1")=0,10^9,LOOKUP(2,1/($M$3:M275="1"),ROW($M$3:M275))),IF(COUNTIF($M$3:M275,"2")=0,10^9,LOOKUP(2,1/($M$3:M275="2"),ROW($M$3:M275))),IF(COUNTIF($M$3:M275,"3")=0,10^9,LOOKUP(2,1/($M$3:M275="3"),ROW($M$3:M275))),IF(COUNTIF($M$3:M275,"4")=0,10^9,LOOKUP(2,1/($M$3:M275="4"),ROW($M$3:M275))),IF(COUNTIF($M$3:M275,"5")=0,10^9,LOOKUP(2,1/($M$3:M275="5"),ROW($M$3:M275))),IF(COUNTIF($M$3:M275,"6")=0,10^9,LOOKUP(2,1/($M$3:M275="6"),ROW($M$3:M275))),IF(COUNTIF($M$3:M275,"7")=0,10^9,LOOKUP(2,1/($M$3:M275="7"),ROW($M$3:M275))),IF(COUNTIF($M$3:M275,"8")=0,10^9,LOOKUP(2,1/($M$3:M275="8"),ROW($M$3:M275))),IF(COUNTIF($M$3:M275,"9")=0,10^9,LOOKUP(2,1/($M$3:M275="9"),ROW($M$3:M275))))-ROW($M$3)+1),"")),AND(N276&lt;&gt;"",N276=IFERROR(INDEX($N$3:N275,MIN(IF(COUNTIF($N$3:N275,"鼠")=0,10^9,LOOKUP(2,1/($N$3:N275="鼠"),ROW($N$3:N275))),IF(COUNTIF($N$3:N275,"牛")=0,10^9,LOOKUP(2,1/($N$3:N275="牛"),ROW($N$3:N275))),IF(COUNTIF($N$3:N275,"虎")=0,10^9,LOOKUP(2,1/($N$3:N275="虎"),ROW($N$3:N275))),IF(COUNTIF($N$3:N275,"兔")=0,10^9,LOOKUP(2,1/($N$3:N275="兔"),ROW($N$3:N275))),IF(COUNTIF($N$3:N275,"龙")=0,10^9,LOOKUP(2,1/($N$3:N275="龙"),ROW($N$3:N275))),IF(COUNTIF($N$3:N275,"蛇")=0,10^9,LOOKUP(2,1/($N$3:N275="蛇"),ROW($N$3:N275))),IF(COUNTIF($N$3:N275,"马")=0,10^9,LOOKUP(2,1/($N$3:N275="马"),ROW($N$3:N275))),IF(COUNTIF($N$3:N275,"羊")=0,10^9,LOOKUP(2,1/($N$3:N275="羊"),ROW($N$3:N275))),IF(COUNTIF($N$3:N275,"猴")=0,10^9,LOOKUP(2,1/($N$3:N275="猴"),ROW($N$3:N275))),IF(COUNTIF($N$3:N275,"鸡")=0,10^9,LOOKUP(2,1/($N$3:N275="鸡"),ROW($N$3:N275))),IF(COUNTIF($N$3:N275,"狗")=0,10^9,LOOKUP(2,1/($N$3:N275="狗"),ROW($N$3:N275))),IF(COUNTIF($N$3:N275,"猪")=0,10^9,LOOKUP(2,1/($N$3:N275="猪"),ROW($N$3:N275))))-ROW($N$3)+1),""))),0,IF(ISNUMBER(J275),J275+1,1)))</f>
        <v/>
      </c>
      <c r="K276" s="5" t="e">
        <f t="shared" si="30"/>
        <v>#N/A</v>
      </c>
      <c r="M276" s="6" t="str">
        <f t="shared" si="26"/>
        <v/>
      </c>
      <c r="N276" s="2" t="e">
        <f t="shared" si="27"/>
        <v>#N/A</v>
      </c>
      <c r="O276" s="7" t="str">
        <f>IF(M276="","",IF(COUNTIF(M277:$M$1000,M276)&gt;0,"",M276))</f>
        <v/>
      </c>
      <c r="P276" s="8" t="e">
        <f>IF(N276="","",IF(COUNTIF(N277:$N$1000,N276)&gt;0,"",N276))</f>
        <v>#N/A</v>
      </c>
      <c r="Q276" s="21" t="e">
        <f t="shared" si="28"/>
        <v>#NUM!</v>
      </c>
      <c r="R276" s="22" t="e">
        <f t="shared" si="29"/>
        <v>#NUM!</v>
      </c>
      <c r="S276" s="11"/>
      <c r="T276" s="11"/>
      <c r="U276" s="11"/>
      <c r="W276" s="11"/>
      <c r="X276" s="2"/>
      <c r="Y276" s="2"/>
    </row>
    <row r="277" s="1" customFormat="1" spans="1:25">
      <c r="A277" s="2">
        <v>115056912</v>
      </c>
      <c r="B277" s="2"/>
      <c r="C277" s="2"/>
      <c r="D277" s="2"/>
      <c r="E277" s="2"/>
      <c r="F277" s="2"/>
      <c r="G277" s="2"/>
      <c r="H277" s="3"/>
      <c r="I277" s="2" t="e">
        <f t="shared" si="25"/>
        <v>#N/A</v>
      </c>
      <c r="J277" s="4" t="str">
        <f>IF(H277="","",IF(OR(AND(M277&lt;&gt;"",M277=IFERROR(INDEX($M$3:M276,MIN(IF(COUNTIF($M$3:M276,"0")=0,10^9,LOOKUP(2,1/($M$3:M276="0"),ROW($M$3:M276))),IF(COUNTIF($M$3:M276,"1")=0,10^9,LOOKUP(2,1/($M$3:M276="1"),ROW($M$3:M276))),IF(COUNTIF($M$3:M276,"2")=0,10^9,LOOKUP(2,1/($M$3:M276="2"),ROW($M$3:M276))),IF(COUNTIF($M$3:M276,"3")=0,10^9,LOOKUP(2,1/($M$3:M276="3"),ROW($M$3:M276))),IF(COUNTIF($M$3:M276,"4")=0,10^9,LOOKUP(2,1/($M$3:M276="4"),ROW($M$3:M276))),IF(COUNTIF($M$3:M276,"5")=0,10^9,LOOKUP(2,1/($M$3:M276="5"),ROW($M$3:M276))),IF(COUNTIF($M$3:M276,"6")=0,10^9,LOOKUP(2,1/($M$3:M276="6"),ROW($M$3:M276))),IF(COUNTIF($M$3:M276,"7")=0,10^9,LOOKUP(2,1/($M$3:M276="7"),ROW($M$3:M276))),IF(COUNTIF($M$3:M276,"8")=0,10^9,LOOKUP(2,1/($M$3:M276="8"),ROW($M$3:M276))),IF(COUNTIF($M$3:M276,"9")=0,10^9,LOOKUP(2,1/($M$3:M276="9"),ROW($M$3:M276))))-ROW($M$3)+1),"")),AND(N277&lt;&gt;"",N277=IFERROR(INDEX($N$3:N276,MIN(IF(COUNTIF($N$3:N276,"鼠")=0,10^9,LOOKUP(2,1/($N$3:N276="鼠"),ROW($N$3:N276))),IF(COUNTIF($N$3:N276,"牛")=0,10^9,LOOKUP(2,1/($N$3:N276="牛"),ROW($N$3:N276))),IF(COUNTIF($N$3:N276,"虎")=0,10^9,LOOKUP(2,1/($N$3:N276="虎"),ROW($N$3:N276))),IF(COUNTIF($N$3:N276,"兔")=0,10^9,LOOKUP(2,1/($N$3:N276="兔"),ROW($N$3:N276))),IF(COUNTIF($N$3:N276,"龙")=0,10^9,LOOKUP(2,1/($N$3:N276="龙"),ROW($N$3:N276))),IF(COUNTIF($N$3:N276,"蛇")=0,10^9,LOOKUP(2,1/($N$3:N276="蛇"),ROW($N$3:N276))),IF(COUNTIF($N$3:N276,"马")=0,10^9,LOOKUP(2,1/($N$3:N276="马"),ROW($N$3:N276))),IF(COUNTIF($N$3:N276,"羊")=0,10^9,LOOKUP(2,1/($N$3:N276="羊"),ROW($N$3:N276))),IF(COUNTIF($N$3:N276,"猴")=0,10^9,LOOKUP(2,1/($N$3:N276="猴"),ROW($N$3:N276))),IF(COUNTIF($N$3:N276,"鸡")=0,10^9,LOOKUP(2,1/($N$3:N276="鸡"),ROW($N$3:N276))),IF(COUNTIF($N$3:N276,"狗")=0,10^9,LOOKUP(2,1/($N$3:N276="狗"),ROW($N$3:N276))),IF(COUNTIF($N$3:N276,"猪")=0,10^9,LOOKUP(2,1/($N$3:N276="猪"),ROW($N$3:N276))))-ROW($N$3)+1),""))),0,IF(ISNUMBER(J276),J276+1,1)))</f>
        <v/>
      </c>
      <c r="K277" s="5" t="e">
        <f t="shared" si="30"/>
        <v>#N/A</v>
      </c>
      <c r="M277" s="6" t="str">
        <f t="shared" si="26"/>
        <v/>
      </c>
      <c r="N277" s="2" t="e">
        <f t="shared" si="27"/>
        <v>#N/A</v>
      </c>
      <c r="O277" s="7" t="str">
        <f>IF(M277="","",IF(COUNTIF(M278:$M$1000,M277)&gt;0,"",M277))</f>
        <v/>
      </c>
      <c r="P277" s="8" t="e">
        <f>IF(N277="","",IF(COUNTIF(N278:$N$1000,N277)&gt;0,"",N277))</f>
        <v>#N/A</v>
      </c>
      <c r="Q277" s="21" t="e">
        <f t="shared" si="28"/>
        <v>#NUM!</v>
      </c>
      <c r="R277" s="22" t="e">
        <f t="shared" si="29"/>
        <v>#NUM!</v>
      </c>
      <c r="S277" s="11"/>
      <c r="T277" s="11"/>
      <c r="U277" s="11"/>
      <c r="W277" s="11"/>
      <c r="X277" s="2"/>
      <c r="Y277" s="2"/>
    </row>
    <row r="278" s="1" customFormat="1" spans="1:25">
      <c r="A278" s="2">
        <v>115056913</v>
      </c>
      <c r="B278" s="2"/>
      <c r="C278" s="2"/>
      <c r="D278" s="2"/>
      <c r="E278" s="2"/>
      <c r="F278" s="2"/>
      <c r="G278" s="2"/>
      <c r="H278" s="3"/>
      <c r="I278" s="2" t="e">
        <f t="shared" si="25"/>
        <v>#N/A</v>
      </c>
      <c r="J278" s="4" t="str">
        <f>IF(H278="","",IF(OR(AND(M278&lt;&gt;"",M278=IFERROR(INDEX($M$3:M277,MIN(IF(COUNTIF($M$3:M277,"0")=0,10^9,LOOKUP(2,1/($M$3:M277="0"),ROW($M$3:M277))),IF(COUNTIF($M$3:M277,"1")=0,10^9,LOOKUP(2,1/($M$3:M277="1"),ROW($M$3:M277))),IF(COUNTIF($M$3:M277,"2")=0,10^9,LOOKUP(2,1/($M$3:M277="2"),ROW($M$3:M277))),IF(COUNTIF($M$3:M277,"3")=0,10^9,LOOKUP(2,1/($M$3:M277="3"),ROW($M$3:M277))),IF(COUNTIF($M$3:M277,"4")=0,10^9,LOOKUP(2,1/($M$3:M277="4"),ROW($M$3:M277))),IF(COUNTIF($M$3:M277,"5")=0,10^9,LOOKUP(2,1/($M$3:M277="5"),ROW($M$3:M277))),IF(COUNTIF($M$3:M277,"6")=0,10^9,LOOKUP(2,1/($M$3:M277="6"),ROW($M$3:M277))),IF(COUNTIF($M$3:M277,"7")=0,10^9,LOOKUP(2,1/($M$3:M277="7"),ROW($M$3:M277))),IF(COUNTIF($M$3:M277,"8")=0,10^9,LOOKUP(2,1/($M$3:M277="8"),ROW($M$3:M277))),IF(COUNTIF($M$3:M277,"9")=0,10^9,LOOKUP(2,1/($M$3:M277="9"),ROW($M$3:M277))))-ROW($M$3)+1),"")),AND(N278&lt;&gt;"",N278=IFERROR(INDEX($N$3:N277,MIN(IF(COUNTIF($N$3:N277,"鼠")=0,10^9,LOOKUP(2,1/($N$3:N277="鼠"),ROW($N$3:N277))),IF(COUNTIF($N$3:N277,"牛")=0,10^9,LOOKUP(2,1/($N$3:N277="牛"),ROW($N$3:N277))),IF(COUNTIF($N$3:N277,"虎")=0,10^9,LOOKUP(2,1/($N$3:N277="虎"),ROW($N$3:N277))),IF(COUNTIF($N$3:N277,"兔")=0,10^9,LOOKUP(2,1/($N$3:N277="兔"),ROW($N$3:N277))),IF(COUNTIF($N$3:N277,"龙")=0,10^9,LOOKUP(2,1/($N$3:N277="龙"),ROW($N$3:N277))),IF(COUNTIF($N$3:N277,"蛇")=0,10^9,LOOKUP(2,1/($N$3:N277="蛇"),ROW($N$3:N277))),IF(COUNTIF($N$3:N277,"马")=0,10^9,LOOKUP(2,1/($N$3:N277="马"),ROW($N$3:N277))),IF(COUNTIF($N$3:N277,"羊")=0,10^9,LOOKUP(2,1/($N$3:N277="羊"),ROW($N$3:N277))),IF(COUNTIF($N$3:N277,"猴")=0,10^9,LOOKUP(2,1/($N$3:N277="猴"),ROW($N$3:N277))),IF(COUNTIF($N$3:N277,"鸡")=0,10^9,LOOKUP(2,1/($N$3:N277="鸡"),ROW($N$3:N277))),IF(COUNTIF($N$3:N277,"狗")=0,10^9,LOOKUP(2,1/($N$3:N277="狗"),ROW($N$3:N277))),IF(COUNTIF($N$3:N277,"猪")=0,10^9,LOOKUP(2,1/($N$3:N277="猪"),ROW($N$3:N277))))-ROW($N$3)+1),""))),0,IF(ISNUMBER(J277),J277+1,1)))</f>
        <v/>
      </c>
      <c r="K278" s="5" t="e">
        <f t="shared" si="30"/>
        <v>#N/A</v>
      </c>
      <c r="M278" s="6" t="str">
        <f t="shared" si="26"/>
        <v/>
      </c>
      <c r="N278" s="2" t="e">
        <f t="shared" si="27"/>
        <v>#N/A</v>
      </c>
      <c r="O278" s="7" t="str">
        <f>IF(M278="","",IF(COUNTIF(M279:$M$1000,M278)&gt;0,"",M278))</f>
        <v/>
      </c>
      <c r="P278" s="8" t="e">
        <f>IF(N278="","",IF(COUNTIF(N279:$N$1000,N278)&gt;0,"",N278))</f>
        <v>#N/A</v>
      </c>
      <c r="Q278" s="21" t="e">
        <f t="shared" si="28"/>
        <v>#NUM!</v>
      </c>
      <c r="R278" s="22" t="e">
        <f t="shared" si="29"/>
        <v>#NUM!</v>
      </c>
      <c r="S278" s="11"/>
      <c r="T278" s="11"/>
      <c r="U278" s="11"/>
      <c r="W278" s="11"/>
      <c r="X278" s="2"/>
      <c r="Y278" s="2"/>
    </row>
    <row r="279" s="1" customFormat="1" spans="1:25">
      <c r="A279" s="2">
        <v>115056914</v>
      </c>
      <c r="B279" s="2"/>
      <c r="C279" s="2"/>
      <c r="D279" s="2"/>
      <c r="E279" s="2"/>
      <c r="F279" s="2"/>
      <c r="G279" s="2"/>
      <c r="H279" s="3"/>
      <c r="I279" s="2" t="e">
        <f t="shared" si="25"/>
        <v>#N/A</v>
      </c>
      <c r="J279" s="4" t="str">
        <f>IF(H279="","",IF(OR(AND(M279&lt;&gt;"",M279=IFERROR(INDEX($M$3:M278,MIN(IF(COUNTIF($M$3:M278,"0")=0,10^9,LOOKUP(2,1/($M$3:M278="0"),ROW($M$3:M278))),IF(COUNTIF($M$3:M278,"1")=0,10^9,LOOKUP(2,1/($M$3:M278="1"),ROW($M$3:M278))),IF(COUNTIF($M$3:M278,"2")=0,10^9,LOOKUP(2,1/($M$3:M278="2"),ROW($M$3:M278))),IF(COUNTIF($M$3:M278,"3")=0,10^9,LOOKUP(2,1/($M$3:M278="3"),ROW($M$3:M278))),IF(COUNTIF($M$3:M278,"4")=0,10^9,LOOKUP(2,1/($M$3:M278="4"),ROW($M$3:M278))),IF(COUNTIF($M$3:M278,"5")=0,10^9,LOOKUP(2,1/($M$3:M278="5"),ROW($M$3:M278))),IF(COUNTIF($M$3:M278,"6")=0,10^9,LOOKUP(2,1/($M$3:M278="6"),ROW($M$3:M278))),IF(COUNTIF($M$3:M278,"7")=0,10^9,LOOKUP(2,1/($M$3:M278="7"),ROW($M$3:M278))),IF(COUNTIF($M$3:M278,"8")=0,10^9,LOOKUP(2,1/($M$3:M278="8"),ROW($M$3:M278))),IF(COUNTIF($M$3:M278,"9")=0,10^9,LOOKUP(2,1/($M$3:M278="9"),ROW($M$3:M278))))-ROW($M$3)+1),"")),AND(N279&lt;&gt;"",N279=IFERROR(INDEX($N$3:N278,MIN(IF(COUNTIF($N$3:N278,"鼠")=0,10^9,LOOKUP(2,1/($N$3:N278="鼠"),ROW($N$3:N278))),IF(COUNTIF($N$3:N278,"牛")=0,10^9,LOOKUP(2,1/($N$3:N278="牛"),ROW($N$3:N278))),IF(COUNTIF($N$3:N278,"虎")=0,10^9,LOOKUP(2,1/($N$3:N278="虎"),ROW($N$3:N278))),IF(COUNTIF($N$3:N278,"兔")=0,10^9,LOOKUP(2,1/($N$3:N278="兔"),ROW($N$3:N278))),IF(COUNTIF($N$3:N278,"龙")=0,10^9,LOOKUP(2,1/($N$3:N278="龙"),ROW($N$3:N278))),IF(COUNTIF($N$3:N278,"蛇")=0,10^9,LOOKUP(2,1/($N$3:N278="蛇"),ROW($N$3:N278))),IF(COUNTIF($N$3:N278,"马")=0,10^9,LOOKUP(2,1/($N$3:N278="马"),ROW($N$3:N278))),IF(COUNTIF($N$3:N278,"羊")=0,10^9,LOOKUP(2,1/($N$3:N278="羊"),ROW($N$3:N278))),IF(COUNTIF($N$3:N278,"猴")=0,10^9,LOOKUP(2,1/($N$3:N278="猴"),ROW($N$3:N278))),IF(COUNTIF($N$3:N278,"鸡")=0,10^9,LOOKUP(2,1/($N$3:N278="鸡"),ROW($N$3:N278))),IF(COUNTIF($N$3:N278,"狗")=0,10^9,LOOKUP(2,1/($N$3:N278="狗"),ROW($N$3:N278))),IF(COUNTIF($N$3:N278,"猪")=0,10^9,LOOKUP(2,1/($N$3:N278="猪"),ROW($N$3:N278))))-ROW($N$3)+1),""))),0,IF(ISNUMBER(J278),J278+1,1)))</f>
        <v/>
      </c>
      <c r="K279" s="5" t="e">
        <f t="shared" si="30"/>
        <v>#N/A</v>
      </c>
      <c r="M279" s="6" t="str">
        <f t="shared" si="26"/>
        <v/>
      </c>
      <c r="N279" s="2" t="e">
        <f t="shared" si="27"/>
        <v>#N/A</v>
      </c>
      <c r="O279" s="7" t="str">
        <f>IF(M279="","",IF(COUNTIF(M280:$M$1000,M279)&gt;0,"",M279))</f>
        <v/>
      </c>
      <c r="P279" s="8" t="e">
        <f>IF(N279="","",IF(COUNTIF(N280:$N$1000,N279)&gt;0,"",N279))</f>
        <v>#N/A</v>
      </c>
      <c r="Q279" s="21" t="e">
        <f t="shared" si="28"/>
        <v>#NUM!</v>
      </c>
      <c r="R279" s="22" t="e">
        <f t="shared" si="29"/>
        <v>#NUM!</v>
      </c>
      <c r="S279" s="11"/>
      <c r="T279" s="11"/>
      <c r="U279" s="11"/>
      <c r="W279" s="11"/>
      <c r="X279" s="2"/>
      <c r="Y279" s="2"/>
    </row>
    <row r="280" s="1" customFormat="1" spans="1:25">
      <c r="A280" s="2">
        <v>115056915</v>
      </c>
      <c r="B280" s="2"/>
      <c r="C280" s="2"/>
      <c r="D280" s="2"/>
      <c r="E280" s="2"/>
      <c r="F280" s="2"/>
      <c r="G280" s="2"/>
      <c r="H280" s="3"/>
      <c r="I280" s="2" t="e">
        <f t="shared" si="25"/>
        <v>#N/A</v>
      </c>
      <c r="J280" s="4" t="str">
        <f>IF(H280="","",IF(OR(AND(M280&lt;&gt;"",M280=IFERROR(INDEX($M$3:M279,MIN(IF(COUNTIF($M$3:M279,"0")=0,10^9,LOOKUP(2,1/($M$3:M279="0"),ROW($M$3:M279))),IF(COUNTIF($M$3:M279,"1")=0,10^9,LOOKUP(2,1/($M$3:M279="1"),ROW($M$3:M279))),IF(COUNTIF($M$3:M279,"2")=0,10^9,LOOKUP(2,1/($M$3:M279="2"),ROW($M$3:M279))),IF(COUNTIF($M$3:M279,"3")=0,10^9,LOOKUP(2,1/($M$3:M279="3"),ROW($M$3:M279))),IF(COUNTIF($M$3:M279,"4")=0,10^9,LOOKUP(2,1/($M$3:M279="4"),ROW($M$3:M279))),IF(COUNTIF($M$3:M279,"5")=0,10^9,LOOKUP(2,1/($M$3:M279="5"),ROW($M$3:M279))),IF(COUNTIF($M$3:M279,"6")=0,10^9,LOOKUP(2,1/($M$3:M279="6"),ROW($M$3:M279))),IF(COUNTIF($M$3:M279,"7")=0,10^9,LOOKUP(2,1/($M$3:M279="7"),ROW($M$3:M279))),IF(COUNTIF($M$3:M279,"8")=0,10^9,LOOKUP(2,1/($M$3:M279="8"),ROW($M$3:M279))),IF(COUNTIF($M$3:M279,"9")=0,10^9,LOOKUP(2,1/($M$3:M279="9"),ROW($M$3:M279))))-ROW($M$3)+1),"")),AND(N280&lt;&gt;"",N280=IFERROR(INDEX($N$3:N279,MIN(IF(COUNTIF($N$3:N279,"鼠")=0,10^9,LOOKUP(2,1/($N$3:N279="鼠"),ROW($N$3:N279))),IF(COUNTIF($N$3:N279,"牛")=0,10^9,LOOKUP(2,1/($N$3:N279="牛"),ROW($N$3:N279))),IF(COUNTIF($N$3:N279,"虎")=0,10^9,LOOKUP(2,1/($N$3:N279="虎"),ROW($N$3:N279))),IF(COUNTIF($N$3:N279,"兔")=0,10^9,LOOKUP(2,1/($N$3:N279="兔"),ROW($N$3:N279))),IF(COUNTIF($N$3:N279,"龙")=0,10^9,LOOKUP(2,1/($N$3:N279="龙"),ROW($N$3:N279))),IF(COUNTIF($N$3:N279,"蛇")=0,10^9,LOOKUP(2,1/($N$3:N279="蛇"),ROW($N$3:N279))),IF(COUNTIF($N$3:N279,"马")=0,10^9,LOOKUP(2,1/($N$3:N279="马"),ROW($N$3:N279))),IF(COUNTIF($N$3:N279,"羊")=0,10^9,LOOKUP(2,1/($N$3:N279="羊"),ROW($N$3:N279))),IF(COUNTIF($N$3:N279,"猴")=0,10^9,LOOKUP(2,1/($N$3:N279="猴"),ROW($N$3:N279))),IF(COUNTIF($N$3:N279,"鸡")=0,10^9,LOOKUP(2,1/($N$3:N279="鸡"),ROW($N$3:N279))),IF(COUNTIF($N$3:N279,"狗")=0,10^9,LOOKUP(2,1/($N$3:N279="狗"),ROW($N$3:N279))),IF(COUNTIF($N$3:N279,"猪")=0,10^9,LOOKUP(2,1/($N$3:N279="猪"),ROW($N$3:N279))))-ROW($N$3)+1),""))),0,IF(ISNUMBER(J279),J279+1,1)))</f>
        <v/>
      </c>
      <c r="K280" s="5" t="e">
        <f t="shared" si="30"/>
        <v>#N/A</v>
      </c>
      <c r="M280" s="6" t="str">
        <f t="shared" si="26"/>
        <v/>
      </c>
      <c r="N280" s="2" t="e">
        <f t="shared" si="27"/>
        <v>#N/A</v>
      </c>
      <c r="O280" s="7" t="str">
        <f>IF(M280="","",IF(COUNTIF(M281:$M$1000,M280)&gt;0,"",M280))</f>
        <v/>
      </c>
      <c r="P280" s="8" t="e">
        <f>IF(N280="","",IF(COUNTIF(N281:$N$1000,N280)&gt;0,"",N280))</f>
        <v>#N/A</v>
      </c>
      <c r="Q280" s="21" t="e">
        <f t="shared" si="28"/>
        <v>#NUM!</v>
      </c>
      <c r="R280" s="22" t="e">
        <f t="shared" si="29"/>
        <v>#NUM!</v>
      </c>
      <c r="S280" s="11"/>
      <c r="T280" s="11"/>
      <c r="U280" s="11"/>
      <c r="W280" s="11"/>
      <c r="X280" s="2"/>
      <c r="Y280" s="2"/>
    </row>
    <row r="281" s="1" customFormat="1" spans="1:25">
      <c r="A281" s="2">
        <v>115056916</v>
      </c>
      <c r="B281" s="2"/>
      <c r="C281" s="2"/>
      <c r="D281" s="2"/>
      <c r="E281" s="2"/>
      <c r="F281" s="2"/>
      <c r="G281" s="2"/>
      <c r="H281" s="3"/>
      <c r="I281" s="2" t="e">
        <f t="shared" si="25"/>
        <v>#N/A</v>
      </c>
      <c r="J281" s="4" t="str">
        <f>IF(H281="","",IF(OR(AND(M281&lt;&gt;"",M281=IFERROR(INDEX($M$3:M280,MIN(IF(COUNTIF($M$3:M280,"0")=0,10^9,LOOKUP(2,1/($M$3:M280="0"),ROW($M$3:M280))),IF(COUNTIF($M$3:M280,"1")=0,10^9,LOOKUP(2,1/($M$3:M280="1"),ROW($M$3:M280))),IF(COUNTIF($M$3:M280,"2")=0,10^9,LOOKUP(2,1/($M$3:M280="2"),ROW($M$3:M280))),IF(COUNTIF($M$3:M280,"3")=0,10^9,LOOKUP(2,1/($M$3:M280="3"),ROW($M$3:M280))),IF(COUNTIF($M$3:M280,"4")=0,10^9,LOOKUP(2,1/($M$3:M280="4"),ROW($M$3:M280))),IF(COUNTIF($M$3:M280,"5")=0,10^9,LOOKUP(2,1/($M$3:M280="5"),ROW($M$3:M280))),IF(COUNTIF($M$3:M280,"6")=0,10^9,LOOKUP(2,1/($M$3:M280="6"),ROW($M$3:M280))),IF(COUNTIF($M$3:M280,"7")=0,10^9,LOOKUP(2,1/($M$3:M280="7"),ROW($M$3:M280))),IF(COUNTIF($M$3:M280,"8")=0,10^9,LOOKUP(2,1/($M$3:M280="8"),ROW($M$3:M280))),IF(COUNTIF($M$3:M280,"9")=0,10^9,LOOKUP(2,1/($M$3:M280="9"),ROW($M$3:M280))))-ROW($M$3)+1),"")),AND(N281&lt;&gt;"",N281=IFERROR(INDEX($N$3:N280,MIN(IF(COUNTIF($N$3:N280,"鼠")=0,10^9,LOOKUP(2,1/($N$3:N280="鼠"),ROW($N$3:N280))),IF(COUNTIF($N$3:N280,"牛")=0,10^9,LOOKUP(2,1/($N$3:N280="牛"),ROW($N$3:N280))),IF(COUNTIF($N$3:N280,"虎")=0,10^9,LOOKUP(2,1/($N$3:N280="虎"),ROW($N$3:N280))),IF(COUNTIF($N$3:N280,"兔")=0,10^9,LOOKUP(2,1/($N$3:N280="兔"),ROW($N$3:N280))),IF(COUNTIF($N$3:N280,"龙")=0,10^9,LOOKUP(2,1/($N$3:N280="龙"),ROW($N$3:N280))),IF(COUNTIF($N$3:N280,"蛇")=0,10^9,LOOKUP(2,1/($N$3:N280="蛇"),ROW($N$3:N280))),IF(COUNTIF($N$3:N280,"马")=0,10^9,LOOKUP(2,1/($N$3:N280="马"),ROW($N$3:N280))),IF(COUNTIF($N$3:N280,"羊")=0,10^9,LOOKUP(2,1/($N$3:N280="羊"),ROW($N$3:N280))),IF(COUNTIF($N$3:N280,"猴")=0,10^9,LOOKUP(2,1/($N$3:N280="猴"),ROW($N$3:N280))),IF(COUNTIF($N$3:N280,"鸡")=0,10^9,LOOKUP(2,1/($N$3:N280="鸡"),ROW($N$3:N280))),IF(COUNTIF($N$3:N280,"狗")=0,10^9,LOOKUP(2,1/($N$3:N280="狗"),ROW($N$3:N280))),IF(COUNTIF($N$3:N280,"猪")=0,10^9,LOOKUP(2,1/($N$3:N280="猪"),ROW($N$3:N280))))-ROW($N$3)+1),""))),0,IF(ISNUMBER(J280),J280+1,1)))</f>
        <v/>
      </c>
      <c r="K281" s="5" t="e">
        <f t="shared" si="30"/>
        <v>#N/A</v>
      </c>
      <c r="M281" s="6" t="str">
        <f t="shared" si="26"/>
        <v/>
      </c>
      <c r="N281" s="2" t="e">
        <f t="shared" si="27"/>
        <v>#N/A</v>
      </c>
      <c r="O281" s="7" t="str">
        <f>IF(M281="","",IF(COUNTIF(M282:$M$1000,M281)&gt;0,"",M281))</f>
        <v/>
      </c>
      <c r="P281" s="8" t="e">
        <f>IF(N281="","",IF(COUNTIF(N282:$N$1000,N281)&gt;0,"",N281))</f>
        <v>#N/A</v>
      </c>
      <c r="Q281" s="21" t="e">
        <f t="shared" si="28"/>
        <v>#NUM!</v>
      </c>
      <c r="R281" s="22" t="e">
        <f t="shared" si="29"/>
        <v>#NUM!</v>
      </c>
      <c r="S281" s="11"/>
      <c r="T281" s="11"/>
      <c r="U281" s="11"/>
      <c r="W281" s="11"/>
      <c r="X281" s="2"/>
      <c r="Y281" s="2"/>
    </row>
    <row r="282" s="1" customFormat="1" spans="1:25">
      <c r="A282" s="2">
        <v>115056917</v>
      </c>
      <c r="B282" s="2"/>
      <c r="C282" s="2"/>
      <c r="D282" s="2"/>
      <c r="E282" s="2"/>
      <c r="F282" s="2"/>
      <c r="G282" s="2"/>
      <c r="H282" s="3"/>
      <c r="I282" s="2" t="e">
        <f t="shared" si="25"/>
        <v>#N/A</v>
      </c>
      <c r="J282" s="4" t="str">
        <f>IF(H282="","",IF(OR(AND(M282&lt;&gt;"",M282=IFERROR(INDEX($M$3:M281,MIN(IF(COUNTIF($M$3:M281,"0")=0,10^9,LOOKUP(2,1/($M$3:M281="0"),ROW($M$3:M281))),IF(COUNTIF($M$3:M281,"1")=0,10^9,LOOKUP(2,1/($M$3:M281="1"),ROW($M$3:M281))),IF(COUNTIF($M$3:M281,"2")=0,10^9,LOOKUP(2,1/($M$3:M281="2"),ROW($M$3:M281))),IF(COUNTIF($M$3:M281,"3")=0,10^9,LOOKUP(2,1/($M$3:M281="3"),ROW($M$3:M281))),IF(COUNTIF($M$3:M281,"4")=0,10^9,LOOKUP(2,1/($M$3:M281="4"),ROW($M$3:M281))),IF(COUNTIF($M$3:M281,"5")=0,10^9,LOOKUP(2,1/($M$3:M281="5"),ROW($M$3:M281))),IF(COUNTIF($M$3:M281,"6")=0,10^9,LOOKUP(2,1/($M$3:M281="6"),ROW($M$3:M281))),IF(COUNTIF($M$3:M281,"7")=0,10^9,LOOKUP(2,1/($M$3:M281="7"),ROW($M$3:M281))),IF(COUNTIF($M$3:M281,"8")=0,10^9,LOOKUP(2,1/($M$3:M281="8"),ROW($M$3:M281))),IF(COUNTIF($M$3:M281,"9")=0,10^9,LOOKUP(2,1/($M$3:M281="9"),ROW($M$3:M281))))-ROW($M$3)+1),"")),AND(N282&lt;&gt;"",N282=IFERROR(INDEX($N$3:N281,MIN(IF(COUNTIF($N$3:N281,"鼠")=0,10^9,LOOKUP(2,1/($N$3:N281="鼠"),ROW($N$3:N281))),IF(COUNTIF($N$3:N281,"牛")=0,10^9,LOOKUP(2,1/($N$3:N281="牛"),ROW($N$3:N281))),IF(COUNTIF($N$3:N281,"虎")=0,10^9,LOOKUP(2,1/($N$3:N281="虎"),ROW($N$3:N281))),IF(COUNTIF($N$3:N281,"兔")=0,10^9,LOOKUP(2,1/($N$3:N281="兔"),ROW($N$3:N281))),IF(COUNTIF($N$3:N281,"龙")=0,10^9,LOOKUP(2,1/($N$3:N281="龙"),ROW($N$3:N281))),IF(COUNTIF($N$3:N281,"蛇")=0,10^9,LOOKUP(2,1/($N$3:N281="蛇"),ROW($N$3:N281))),IF(COUNTIF($N$3:N281,"马")=0,10^9,LOOKUP(2,1/($N$3:N281="马"),ROW($N$3:N281))),IF(COUNTIF($N$3:N281,"羊")=0,10^9,LOOKUP(2,1/($N$3:N281="羊"),ROW($N$3:N281))),IF(COUNTIF($N$3:N281,"猴")=0,10^9,LOOKUP(2,1/($N$3:N281="猴"),ROW($N$3:N281))),IF(COUNTIF($N$3:N281,"鸡")=0,10^9,LOOKUP(2,1/($N$3:N281="鸡"),ROW($N$3:N281))),IF(COUNTIF($N$3:N281,"狗")=0,10^9,LOOKUP(2,1/($N$3:N281="狗"),ROW($N$3:N281))),IF(COUNTIF($N$3:N281,"猪")=0,10^9,LOOKUP(2,1/($N$3:N281="猪"),ROW($N$3:N281))))-ROW($N$3)+1),""))),0,IF(ISNUMBER(J281),J281+1,1)))</f>
        <v/>
      </c>
      <c r="K282" s="5" t="e">
        <f t="shared" si="30"/>
        <v>#N/A</v>
      </c>
      <c r="M282" s="6" t="str">
        <f t="shared" si="26"/>
        <v/>
      </c>
      <c r="N282" s="2" t="e">
        <f t="shared" si="27"/>
        <v>#N/A</v>
      </c>
      <c r="O282" s="7" t="str">
        <f>IF(M282="","",IF(COUNTIF(M283:$M$1000,M282)&gt;0,"",M282))</f>
        <v/>
      </c>
      <c r="P282" s="8" t="e">
        <f>IF(N282="","",IF(COUNTIF(N283:$N$1000,N282)&gt;0,"",N282))</f>
        <v>#N/A</v>
      </c>
      <c r="Q282" s="21" t="e">
        <f t="shared" si="28"/>
        <v>#NUM!</v>
      </c>
      <c r="R282" s="22" t="e">
        <f t="shared" si="29"/>
        <v>#NUM!</v>
      </c>
      <c r="S282" s="11"/>
      <c r="T282" s="11"/>
      <c r="U282" s="11"/>
      <c r="W282" s="11"/>
      <c r="X282" s="2"/>
      <c r="Y282" s="2"/>
    </row>
    <row r="283" s="1" customFormat="1" spans="1:25">
      <c r="A283" s="2">
        <v>115056918</v>
      </c>
      <c r="B283" s="2"/>
      <c r="C283" s="2"/>
      <c r="D283" s="2"/>
      <c r="E283" s="2"/>
      <c r="F283" s="2"/>
      <c r="G283" s="2"/>
      <c r="H283" s="3"/>
      <c r="I283" s="2" t="e">
        <f t="shared" si="25"/>
        <v>#N/A</v>
      </c>
      <c r="J283" s="4" t="str">
        <f>IF(H283="","",IF(OR(AND(M283&lt;&gt;"",M283=IFERROR(INDEX($M$3:M282,MIN(IF(COUNTIF($M$3:M282,"0")=0,10^9,LOOKUP(2,1/($M$3:M282="0"),ROW($M$3:M282))),IF(COUNTIF($M$3:M282,"1")=0,10^9,LOOKUP(2,1/($M$3:M282="1"),ROW($M$3:M282))),IF(COUNTIF($M$3:M282,"2")=0,10^9,LOOKUP(2,1/($M$3:M282="2"),ROW($M$3:M282))),IF(COUNTIF($M$3:M282,"3")=0,10^9,LOOKUP(2,1/($M$3:M282="3"),ROW($M$3:M282))),IF(COUNTIF($M$3:M282,"4")=0,10^9,LOOKUP(2,1/($M$3:M282="4"),ROW($M$3:M282))),IF(COUNTIF($M$3:M282,"5")=0,10^9,LOOKUP(2,1/($M$3:M282="5"),ROW($M$3:M282))),IF(COUNTIF($M$3:M282,"6")=0,10^9,LOOKUP(2,1/($M$3:M282="6"),ROW($M$3:M282))),IF(COUNTIF($M$3:M282,"7")=0,10^9,LOOKUP(2,1/($M$3:M282="7"),ROW($M$3:M282))),IF(COUNTIF($M$3:M282,"8")=0,10^9,LOOKUP(2,1/($M$3:M282="8"),ROW($M$3:M282))),IF(COUNTIF($M$3:M282,"9")=0,10^9,LOOKUP(2,1/($M$3:M282="9"),ROW($M$3:M282))))-ROW($M$3)+1),"")),AND(N283&lt;&gt;"",N283=IFERROR(INDEX($N$3:N282,MIN(IF(COUNTIF($N$3:N282,"鼠")=0,10^9,LOOKUP(2,1/($N$3:N282="鼠"),ROW($N$3:N282))),IF(COUNTIF($N$3:N282,"牛")=0,10^9,LOOKUP(2,1/($N$3:N282="牛"),ROW($N$3:N282))),IF(COUNTIF($N$3:N282,"虎")=0,10^9,LOOKUP(2,1/($N$3:N282="虎"),ROW($N$3:N282))),IF(COUNTIF($N$3:N282,"兔")=0,10^9,LOOKUP(2,1/($N$3:N282="兔"),ROW($N$3:N282))),IF(COUNTIF($N$3:N282,"龙")=0,10^9,LOOKUP(2,1/($N$3:N282="龙"),ROW($N$3:N282))),IF(COUNTIF($N$3:N282,"蛇")=0,10^9,LOOKUP(2,1/($N$3:N282="蛇"),ROW($N$3:N282))),IF(COUNTIF($N$3:N282,"马")=0,10^9,LOOKUP(2,1/($N$3:N282="马"),ROW($N$3:N282))),IF(COUNTIF($N$3:N282,"羊")=0,10^9,LOOKUP(2,1/($N$3:N282="羊"),ROW($N$3:N282))),IF(COUNTIF($N$3:N282,"猴")=0,10^9,LOOKUP(2,1/($N$3:N282="猴"),ROW($N$3:N282))),IF(COUNTIF($N$3:N282,"鸡")=0,10^9,LOOKUP(2,1/($N$3:N282="鸡"),ROW($N$3:N282))),IF(COUNTIF($N$3:N282,"狗")=0,10^9,LOOKUP(2,1/($N$3:N282="狗"),ROW($N$3:N282))),IF(COUNTIF($N$3:N282,"猪")=0,10^9,LOOKUP(2,1/($N$3:N282="猪"),ROW($N$3:N282))))-ROW($N$3)+1),""))),0,IF(ISNUMBER(J282),J282+1,1)))</f>
        <v/>
      </c>
      <c r="K283" s="5" t="e">
        <f t="shared" si="30"/>
        <v>#N/A</v>
      </c>
      <c r="M283" s="6" t="str">
        <f t="shared" si="26"/>
        <v/>
      </c>
      <c r="N283" s="2" t="e">
        <f t="shared" si="27"/>
        <v>#N/A</v>
      </c>
      <c r="O283" s="7" t="str">
        <f>IF(M283="","",IF(COUNTIF(M284:$M$1000,M283)&gt;0,"",M283))</f>
        <v/>
      </c>
      <c r="P283" s="8" t="e">
        <f>IF(N283="","",IF(COUNTIF(N284:$N$1000,N283)&gt;0,"",N283))</f>
        <v>#N/A</v>
      </c>
      <c r="Q283" s="21" t="e">
        <f t="shared" si="28"/>
        <v>#NUM!</v>
      </c>
      <c r="R283" s="22" t="e">
        <f t="shared" si="29"/>
        <v>#NUM!</v>
      </c>
      <c r="S283" s="11"/>
      <c r="T283" s="11"/>
      <c r="U283" s="11"/>
      <c r="W283" s="11"/>
      <c r="X283" s="2"/>
      <c r="Y283" s="2"/>
    </row>
    <row r="284" s="1" customFormat="1" spans="1:25">
      <c r="A284" s="2">
        <v>115056919</v>
      </c>
      <c r="B284" s="2"/>
      <c r="C284" s="2"/>
      <c r="D284" s="2"/>
      <c r="E284" s="2"/>
      <c r="F284" s="2"/>
      <c r="G284" s="2"/>
      <c r="H284" s="3"/>
      <c r="I284" s="2" t="e">
        <f t="shared" si="25"/>
        <v>#N/A</v>
      </c>
      <c r="J284" s="4" t="str">
        <f>IF(H284="","",IF(OR(AND(M284&lt;&gt;"",M284=IFERROR(INDEX($M$3:M283,MIN(IF(COUNTIF($M$3:M283,"0")=0,10^9,LOOKUP(2,1/($M$3:M283="0"),ROW($M$3:M283))),IF(COUNTIF($M$3:M283,"1")=0,10^9,LOOKUP(2,1/($M$3:M283="1"),ROW($M$3:M283))),IF(COUNTIF($M$3:M283,"2")=0,10^9,LOOKUP(2,1/($M$3:M283="2"),ROW($M$3:M283))),IF(COUNTIF($M$3:M283,"3")=0,10^9,LOOKUP(2,1/($M$3:M283="3"),ROW($M$3:M283))),IF(COUNTIF($M$3:M283,"4")=0,10^9,LOOKUP(2,1/($M$3:M283="4"),ROW($M$3:M283))),IF(COUNTIF($M$3:M283,"5")=0,10^9,LOOKUP(2,1/($M$3:M283="5"),ROW($M$3:M283))),IF(COUNTIF($M$3:M283,"6")=0,10^9,LOOKUP(2,1/($M$3:M283="6"),ROW($M$3:M283))),IF(COUNTIF($M$3:M283,"7")=0,10^9,LOOKUP(2,1/($M$3:M283="7"),ROW($M$3:M283))),IF(COUNTIF($M$3:M283,"8")=0,10^9,LOOKUP(2,1/($M$3:M283="8"),ROW($M$3:M283))),IF(COUNTIF($M$3:M283,"9")=0,10^9,LOOKUP(2,1/($M$3:M283="9"),ROW($M$3:M283))))-ROW($M$3)+1),"")),AND(N284&lt;&gt;"",N284=IFERROR(INDEX($N$3:N283,MIN(IF(COUNTIF($N$3:N283,"鼠")=0,10^9,LOOKUP(2,1/($N$3:N283="鼠"),ROW($N$3:N283))),IF(COUNTIF($N$3:N283,"牛")=0,10^9,LOOKUP(2,1/($N$3:N283="牛"),ROW($N$3:N283))),IF(COUNTIF($N$3:N283,"虎")=0,10^9,LOOKUP(2,1/($N$3:N283="虎"),ROW($N$3:N283))),IF(COUNTIF($N$3:N283,"兔")=0,10^9,LOOKUP(2,1/($N$3:N283="兔"),ROW($N$3:N283))),IF(COUNTIF($N$3:N283,"龙")=0,10^9,LOOKUP(2,1/($N$3:N283="龙"),ROW($N$3:N283))),IF(COUNTIF($N$3:N283,"蛇")=0,10^9,LOOKUP(2,1/($N$3:N283="蛇"),ROW($N$3:N283))),IF(COUNTIF($N$3:N283,"马")=0,10^9,LOOKUP(2,1/($N$3:N283="马"),ROW($N$3:N283))),IF(COUNTIF($N$3:N283,"羊")=0,10^9,LOOKUP(2,1/($N$3:N283="羊"),ROW($N$3:N283))),IF(COUNTIF($N$3:N283,"猴")=0,10^9,LOOKUP(2,1/($N$3:N283="猴"),ROW($N$3:N283))),IF(COUNTIF($N$3:N283,"鸡")=0,10^9,LOOKUP(2,1/($N$3:N283="鸡"),ROW($N$3:N283))),IF(COUNTIF($N$3:N283,"狗")=0,10^9,LOOKUP(2,1/($N$3:N283="狗"),ROW($N$3:N283))),IF(COUNTIF($N$3:N283,"猪")=0,10^9,LOOKUP(2,1/($N$3:N283="猪"),ROW($N$3:N283))))-ROW($N$3)+1),""))),0,IF(ISNUMBER(J283),J283+1,1)))</f>
        <v/>
      </c>
      <c r="K284" s="5" t="e">
        <f t="shared" si="30"/>
        <v>#N/A</v>
      </c>
      <c r="M284" s="6" t="str">
        <f t="shared" si="26"/>
        <v/>
      </c>
      <c r="N284" s="2" t="e">
        <f t="shared" si="27"/>
        <v>#N/A</v>
      </c>
      <c r="O284" s="7" t="str">
        <f>IF(M284="","",IF(COUNTIF(M285:$M$1000,M284)&gt;0,"",M284))</f>
        <v/>
      </c>
      <c r="P284" s="8" t="e">
        <f>IF(N284="","",IF(COUNTIF(N285:$N$1000,N284)&gt;0,"",N284))</f>
        <v>#N/A</v>
      </c>
      <c r="Q284" s="21" t="e">
        <f t="shared" si="28"/>
        <v>#NUM!</v>
      </c>
      <c r="R284" s="22" t="e">
        <f t="shared" si="29"/>
        <v>#NUM!</v>
      </c>
      <c r="S284" s="11"/>
      <c r="T284" s="11"/>
      <c r="U284" s="11"/>
      <c r="W284" s="11"/>
      <c r="X284" s="2"/>
      <c r="Y284" s="2"/>
    </row>
    <row r="285" s="1" customFormat="1" spans="1:25">
      <c r="A285" s="2">
        <v>115056920</v>
      </c>
      <c r="B285" s="2"/>
      <c r="C285" s="2"/>
      <c r="D285" s="2"/>
      <c r="E285" s="2"/>
      <c r="F285" s="2"/>
      <c r="G285" s="2"/>
      <c r="H285" s="3"/>
      <c r="I285" s="2" t="e">
        <f t="shared" si="25"/>
        <v>#N/A</v>
      </c>
      <c r="J285" s="4" t="str">
        <f>IF(H285="","",IF(OR(AND(M285&lt;&gt;"",M285=IFERROR(INDEX($M$3:M284,MIN(IF(COUNTIF($M$3:M284,"0")=0,10^9,LOOKUP(2,1/($M$3:M284="0"),ROW($M$3:M284))),IF(COUNTIF($M$3:M284,"1")=0,10^9,LOOKUP(2,1/($M$3:M284="1"),ROW($M$3:M284))),IF(COUNTIF($M$3:M284,"2")=0,10^9,LOOKUP(2,1/($M$3:M284="2"),ROW($M$3:M284))),IF(COUNTIF($M$3:M284,"3")=0,10^9,LOOKUP(2,1/($M$3:M284="3"),ROW($M$3:M284))),IF(COUNTIF($M$3:M284,"4")=0,10^9,LOOKUP(2,1/($M$3:M284="4"),ROW($M$3:M284))),IF(COUNTIF($M$3:M284,"5")=0,10^9,LOOKUP(2,1/($M$3:M284="5"),ROW($M$3:M284))),IF(COUNTIF($M$3:M284,"6")=0,10^9,LOOKUP(2,1/($M$3:M284="6"),ROW($M$3:M284))),IF(COUNTIF($M$3:M284,"7")=0,10^9,LOOKUP(2,1/($M$3:M284="7"),ROW($M$3:M284))),IF(COUNTIF($M$3:M284,"8")=0,10^9,LOOKUP(2,1/($M$3:M284="8"),ROW($M$3:M284))),IF(COUNTIF($M$3:M284,"9")=0,10^9,LOOKUP(2,1/($M$3:M284="9"),ROW($M$3:M284))))-ROW($M$3)+1),"")),AND(N285&lt;&gt;"",N285=IFERROR(INDEX($N$3:N284,MIN(IF(COUNTIF($N$3:N284,"鼠")=0,10^9,LOOKUP(2,1/($N$3:N284="鼠"),ROW($N$3:N284))),IF(COUNTIF($N$3:N284,"牛")=0,10^9,LOOKUP(2,1/($N$3:N284="牛"),ROW($N$3:N284))),IF(COUNTIF($N$3:N284,"虎")=0,10^9,LOOKUP(2,1/($N$3:N284="虎"),ROW($N$3:N284))),IF(COUNTIF($N$3:N284,"兔")=0,10^9,LOOKUP(2,1/($N$3:N284="兔"),ROW($N$3:N284))),IF(COUNTIF($N$3:N284,"龙")=0,10^9,LOOKUP(2,1/($N$3:N284="龙"),ROW($N$3:N284))),IF(COUNTIF($N$3:N284,"蛇")=0,10^9,LOOKUP(2,1/($N$3:N284="蛇"),ROW($N$3:N284))),IF(COUNTIF($N$3:N284,"马")=0,10^9,LOOKUP(2,1/($N$3:N284="马"),ROW($N$3:N284))),IF(COUNTIF($N$3:N284,"羊")=0,10^9,LOOKUP(2,1/($N$3:N284="羊"),ROW($N$3:N284))),IF(COUNTIF($N$3:N284,"猴")=0,10^9,LOOKUP(2,1/($N$3:N284="猴"),ROW($N$3:N284))),IF(COUNTIF($N$3:N284,"鸡")=0,10^9,LOOKUP(2,1/($N$3:N284="鸡"),ROW($N$3:N284))),IF(COUNTIF($N$3:N284,"狗")=0,10^9,LOOKUP(2,1/($N$3:N284="狗"),ROW($N$3:N284))),IF(COUNTIF($N$3:N284,"猪")=0,10^9,LOOKUP(2,1/($N$3:N284="猪"),ROW($N$3:N284))))-ROW($N$3)+1),""))),0,IF(ISNUMBER(J284),J284+1,1)))</f>
        <v/>
      </c>
      <c r="K285" s="5" t="e">
        <f t="shared" si="30"/>
        <v>#N/A</v>
      </c>
      <c r="M285" s="6" t="str">
        <f t="shared" si="26"/>
        <v/>
      </c>
      <c r="N285" s="2" t="e">
        <f t="shared" si="27"/>
        <v>#N/A</v>
      </c>
      <c r="O285" s="7" t="str">
        <f>IF(M285="","",IF(COUNTIF(M286:$M$1000,M285)&gt;0,"",M285))</f>
        <v/>
      </c>
      <c r="P285" s="8" t="e">
        <f>IF(N285="","",IF(COUNTIF(N286:$N$1000,N285)&gt;0,"",N285))</f>
        <v>#N/A</v>
      </c>
      <c r="Q285" s="21" t="e">
        <f t="shared" si="28"/>
        <v>#NUM!</v>
      </c>
      <c r="R285" s="22" t="e">
        <f t="shared" si="29"/>
        <v>#NUM!</v>
      </c>
      <c r="S285" s="11"/>
      <c r="T285" s="11"/>
      <c r="U285" s="11"/>
      <c r="W285" s="11"/>
      <c r="X285" s="2"/>
      <c r="Y285" s="2"/>
    </row>
    <row r="286" s="1" customFormat="1" spans="1:25">
      <c r="A286" s="2">
        <v>115056921</v>
      </c>
      <c r="B286" s="2"/>
      <c r="C286" s="2"/>
      <c r="D286" s="2"/>
      <c r="E286" s="2"/>
      <c r="F286" s="2"/>
      <c r="G286" s="2"/>
      <c r="H286" s="3"/>
      <c r="I286" s="2" t="e">
        <f t="shared" si="25"/>
        <v>#N/A</v>
      </c>
      <c r="J286" s="4" t="str">
        <f>IF(H286="","",IF(OR(AND(M286&lt;&gt;"",M286=IFERROR(INDEX($M$3:M285,MIN(IF(COUNTIF($M$3:M285,"0")=0,10^9,LOOKUP(2,1/($M$3:M285="0"),ROW($M$3:M285))),IF(COUNTIF($M$3:M285,"1")=0,10^9,LOOKUP(2,1/($M$3:M285="1"),ROW($M$3:M285))),IF(COUNTIF($M$3:M285,"2")=0,10^9,LOOKUP(2,1/($M$3:M285="2"),ROW($M$3:M285))),IF(COUNTIF($M$3:M285,"3")=0,10^9,LOOKUP(2,1/($M$3:M285="3"),ROW($M$3:M285))),IF(COUNTIF($M$3:M285,"4")=0,10^9,LOOKUP(2,1/($M$3:M285="4"),ROW($M$3:M285))),IF(COUNTIF($M$3:M285,"5")=0,10^9,LOOKUP(2,1/($M$3:M285="5"),ROW($M$3:M285))),IF(COUNTIF($M$3:M285,"6")=0,10^9,LOOKUP(2,1/($M$3:M285="6"),ROW($M$3:M285))),IF(COUNTIF($M$3:M285,"7")=0,10^9,LOOKUP(2,1/($M$3:M285="7"),ROW($M$3:M285))),IF(COUNTIF($M$3:M285,"8")=0,10^9,LOOKUP(2,1/($M$3:M285="8"),ROW($M$3:M285))),IF(COUNTIF($M$3:M285,"9")=0,10^9,LOOKUP(2,1/($M$3:M285="9"),ROW($M$3:M285))))-ROW($M$3)+1),"")),AND(N286&lt;&gt;"",N286=IFERROR(INDEX($N$3:N285,MIN(IF(COUNTIF($N$3:N285,"鼠")=0,10^9,LOOKUP(2,1/($N$3:N285="鼠"),ROW($N$3:N285))),IF(COUNTIF($N$3:N285,"牛")=0,10^9,LOOKUP(2,1/($N$3:N285="牛"),ROW($N$3:N285))),IF(COUNTIF($N$3:N285,"虎")=0,10^9,LOOKUP(2,1/($N$3:N285="虎"),ROW($N$3:N285))),IF(COUNTIF($N$3:N285,"兔")=0,10^9,LOOKUP(2,1/($N$3:N285="兔"),ROW($N$3:N285))),IF(COUNTIF($N$3:N285,"龙")=0,10^9,LOOKUP(2,1/($N$3:N285="龙"),ROW($N$3:N285))),IF(COUNTIF($N$3:N285,"蛇")=0,10^9,LOOKUP(2,1/($N$3:N285="蛇"),ROW($N$3:N285))),IF(COUNTIF($N$3:N285,"马")=0,10^9,LOOKUP(2,1/($N$3:N285="马"),ROW($N$3:N285))),IF(COUNTIF($N$3:N285,"羊")=0,10^9,LOOKUP(2,1/($N$3:N285="羊"),ROW($N$3:N285))),IF(COUNTIF($N$3:N285,"猴")=0,10^9,LOOKUP(2,1/($N$3:N285="猴"),ROW($N$3:N285))),IF(COUNTIF($N$3:N285,"鸡")=0,10^9,LOOKUP(2,1/($N$3:N285="鸡"),ROW($N$3:N285))),IF(COUNTIF($N$3:N285,"狗")=0,10^9,LOOKUP(2,1/($N$3:N285="狗"),ROW($N$3:N285))),IF(COUNTIF($N$3:N285,"猪")=0,10^9,LOOKUP(2,1/($N$3:N285="猪"),ROW($N$3:N285))))-ROW($N$3)+1),""))),0,IF(ISNUMBER(J285),J285+1,1)))</f>
        <v/>
      </c>
      <c r="K286" s="5" t="e">
        <f t="shared" si="30"/>
        <v>#N/A</v>
      </c>
      <c r="M286" s="6" t="str">
        <f t="shared" si="26"/>
        <v/>
      </c>
      <c r="N286" s="2" t="e">
        <f t="shared" si="27"/>
        <v>#N/A</v>
      </c>
      <c r="O286" s="7" t="str">
        <f>IF(M286="","",IF(COUNTIF(M287:$M$1000,M286)&gt;0,"",M286))</f>
        <v/>
      </c>
      <c r="P286" s="8" t="e">
        <f>IF(N286="","",IF(COUNTIF(N287:$N$1000,N286)&gt;0,"",N286))</f>
        <v>#N/A</v>
      </c>
      <c r="Q286" s="21" t="e">
        <f t="shared" si="28"/>
        <v>#NUM!</v>
      </c>
      <c r="R286" s="22" t="e">
        <f t="shared" si="29"/>
        <v>#NUM!</v>
      </c>
      <c r="S286" s="11"/>
      <c r="T286" s="11"/>
      <c r="U286" s="11"/>
      <c r="W286" s="11"/>
      <c r="X286" s="2"/>
      <c r="Y286" s="2"/>
    </row>
    <row r="287" s="1" customFormat="1" spans="1:25">
      <c r="A287" s="2">
        <v>115056922</v>
      </c>
      <c r="B287" s="2"/>
      <c r="C287" s="2"/>
      <c r="D287" s="2"/>
      <c r="E287" s="2"/>
      <c r="F287" s="2"/>
      <c r="G287" s="2"/>
      <c r="H287" s="3"/>
      <c r="I287" s="2" t="e">
        <f t="shared" si="25"/>
        <v>#N/A</v>
      </c>
      <c r="J287" s="4" t="str">
        <f>IF(H287="","",IF(OR(AND(M287&lt;&gt;"",M287=IFERROR(INDEX($M$3:M286,MIN(IF(COUNTIF($M$3:M286,"0")=0,10^9,LOOKUP(2,1/($M$3:M286="0"),ROW($M$3:M286))),IF(COUNTIF($M$3:M286,"1")=0,10^9,LOOKUP(2,1/($M$3:M286="1"),ROW($M$3:M286))),IF(COUNTIF($M$3:M286,"2")=0,10^9,LOOKUP(2,1/($M$3:M286="2"),ROW($M$3:M286))),IF(COUNTIF($M$3:M286,"3")=0,10^9,LOOKUP(2,1/($M$3:M286="3"),ROW($M$3:M286))),IF(COUNTIF($M$3:M286,"4")=0,10^9,LOOKUP(2,1/($M$3:M286="4"),ROW($M$3:M286))),IF(COUNTIF($M$3:M286,"5")=0,10^9,LOOKUP(2,1/($M$3:M286="5"),ROW($M$3:M286))),IF(COUNTIF($M$3:M286,"6")=0,10^9,LOOKUP(2,1/($M$3:M286="6"),ROW($M$3:M286))),IF(COUNTIF($M$3:M286,"7")=0,10^9,LOOKUP(2,1/($M$3:M286="7"),ROW($M$3:M286))),IF(COUNTIF($M$3:M286,"8")=0,10^9,LOOKUP(2,1/($M$3:M286="8"),ROW($M$3:M286))),IF(COUNTIF($M$3:M286,"9")=0,10^9,LOOKUP(2,1/($M$3:M286="9"),ROW($M$3:M286))))-ROW($M$3)+1),"")),AND(N287&lt;&gt;"",N287=IFERROR(INDEX($N$3:N286,MIN(IF(COUNTIF($N$3:N286,"鼠")=0,10^9,LOOKUP(2,1/($N$3:N286="鼠"),ROW($N$3:N286))),IF(COUNTIF($N$3:N286,"牛")=0,10^9,LOOKUP(2,1/($N$3:N286="牛"),ROW($N$3:N286))),IF(COUNTIF($N$3:N286,"虎")=0,10^9,LOOKUP(2,1/($N$3:N286="虎"),ROW($N$3:N286))),IF(COUNTIF($N$3:N286,"兔")=0,10^9,LOOKUP(2,1/($N$3:N286="兔"),ROW($N$3:N286))),IF(COUNTIF($N$3:N286,"龙")=0,10^9,LOOKUP(2,1/($N$3:N286="龙"),ROW($N$3:N286))),IF(COUNTIF($N$3:N286,"蛇")=0,10^9,LOOKUP(2,1/($N$3:N286="蛇"),ROW($N$3:N286))),IF(COUNTIF($N$3:N286,"马")=0,10^9,LOOKUP(2,1/($N$3:N286="马"),ROW($N$3:N286))),IF(COUNTIF($N$3:N286,"羊")=0,10^9,LOOKUP(2,1/($N$3:N286="羊"),ROW($N$3:N286))),IF(COUNTIF($N$3:N286,"猴")=0,10^9,LOOKUP(2,1/($N$3:N286="猴"),ROW($N$3:N286))),IF(COUNTIF($N$3:N286,"鸡")=0,10^9,LOOKUP(2,1/($N$3:N286="鸡"),ROW($N$3:N286))),IF(COUNTIF($N$3:N286,"狗")=0,10^9,LOOKUP(2,1/($N$3:N286="狗"),ROW($N$3:N286))),IF(COUNTIF($N$3:N286,"猪")=0,10^9,LOOKUP(2,1/($N$3:N286="猪"),ROW($N$3:N286))))-ROW($N$3)+1),""))),0,IF(ISNUMBER(J286),J286+1,1)))</f>
        <v/>
      </c>
      <c r="K287" s="5" t="e">
        <f t="shared" si="30"/>
        <v>#N/A</v>
      </c>
      <c r="M287" s="6" t="str">
        <f t="shared" si="26"/>
        <v/>
      </c>
      <c r="N287" s="2" t="e">
        <f t="shared" si="27"/>
        <v>#N/A</v>
      </c>
      <c r="O287" s="7" t="str">
        <f>IF(M287="","",IF(COUNTIF(M288:$M$1000,M287)&gt;0,"",M287))</f>
        <v/>
      </c>
      <c r="P287" s="8" t="e">
        <f>IF(N287="","",IF(COUNTIF(N288:$N$1000,N287)&gt;0,"",N287))</f>
        <v>#N/A</v>
      </c>
      <c r="Q287" s="21" t="e">
        <f t="shared" si="28"/>
        <v>#NUM!</v>
      </c>
      <c r="R287" s="22" t="e">
        <f t="shared" si="29"/>
        <v>#NUM!</v>
      </c>
      <c r="S287" s="11"/>
      <c r="T287" s="11"/>
      <c r="U287" s="11"/>
      <c r="W287" s="11"/>
      <c r="X287" s="2"/>
      <c r="Y287" s="2"/>
    </row>
    <row r="288" s="1" customFormat="1" spans="1:25">
      <c r="A288" s="2">
        <v>115056923</v>
      </c>
      <c r="B288" s="2"/>
      <c r="C288" s="2"/>
      <c r="D288" s="2"/>
      <c r="E288" s="2"/>
      <c r="F288" s="2"/>
      <c r="G288" s="2"/>
      <c r="H288" s="3"/>
      <c r="I288" s="2" t="e">
        <f t="shared" si="25"/>
        <v>#N/A</v>
      </c>
      <c r="J288" s="4" t="str">
        <f>IF(H288="","",IF(OR(AND(M288&lt;&gt;"",M288=IFERROR(INDEX($M$3:M287,MIN(IF(COUNTIF($M$3:M287,"0")=0,10^9,LOOKUP(2,1/($M$3:M287="0"),ROW($M$3:M287))),IF(COUNTIF($M$3:M287,"1")=0,10^9,LOOKUP(2,1/($M$3:M287="1"),ROW($M$3:M287))),IF(COUNTIF($M$3:M287,"2")=0,10^9,LOOKUP(2,1/($M$3:M287="2"),ROW($M$3:M287))),IF(COUNTIF($M$3:M287,"3")=0,10^9,LOOKUP(2,1/($M$3:M287="3"),ROW($M$3:M287))),IF(COUNTIF($M$3:M287,"4")=0,10^9,LOOKUP(2,1/($M$3:M287="4"),ROW($M$3:M287))),IF(COUNTIF($M$3:M287,"5")=0,10^9,LOOKUP(2,1/($M$3:M287="5"),ROW($M$3:M287))),IF(COUNTIF($M$3:M287,"6")=0,10^9,LOOKUP(2,1/($M$3:M287="6"),ROW($M$3:M287))),IF(COUNTIF($M$3:M287,"7")=0,10^9,LOOKUP(2,1/($M$3:M287="7"),ROW($M$3:M287))),IF(COUNTIF($M$3:M287,"8")=0,10^9,LOOKUP(2,1/($M$3:M287="8"),ROW($M$3:M287))),IF(COUNTIF($M$3:M287,"9")=0,10^9,LOOKUP(2,1/($M$3:M287="9"),ROW($M$3:M287))))-ROW($M$3)+1),"")),AND(N288&lt;&gt;"",N288=IFERROR(INDEX($N$3:N287,MIN(IF(COUNTIF($N$3:N287,"鼠")=0,10^9,LOOKUP(2,1/($N$3:N287="鼠"),ROW($N$3:N287))),IF(COUNTIF($N$3:N287,"牛")=0,10^9,LOOKUP(2,1/($N$3:N287="牛"),ROW($N$3:N287))),IF(COUNTIF($N$3:N287,"虎")=0,10^9,LOOKUP(2,1/($N$3:N287="虎"),ROW($N$3:N287))),IF(COUNTIF($N$3:N287,"兔")=0,10^9,LOOKUP(2,1/($N$3:N287="兔"),ROW($N$3:N287))),IF(COUNTIF($N$3:N287,"龙")=0,10^9,LOOKUP(2,1/($N$3:N287="龙"),ROW($N$3:N287))),IF(COUNTIF($N$3:N287,"蛇")=0,10^9,LOOKUP(2,1/($N$3:N287="蛇"),ROW($N$3:N287))),IF(COUNTIF($N$3:N287,"马")=0,10^9,LOOKUP(2,1/($N$3:N287="马"),ROW($N$3:N287))),IF(COUNTIF($N$3:N287,"羊")=0,10^9,LOOKUP(2,1/($N$3:N287="羊"),ROW($N$3:N287))),IF(COUNTIF($N$3:N287,"猴")=0,10^9,LOOKUP(2,1/($N$3:N287="猴"),ROW($N$3:N287))),IF(COUNTIF($N$3:N287,"鸡")=0,10^9,LOOKUP(2,1/($N$3:N287="鸡"),ROW($N$3:N287))),IF(COUNTIF($N$3:N287,"狗")=0,10^9,LOOKUP(2,1/($N$3:N287="狗"),ROW($N$3:N287))),IF(COUNTIF($N$3:N287,"猪")=0,10^9,LOOKUP(2,1/($N$3:N287="猪"),ROW($N$3:N287))))-ROW($N$3)+1),""))),0,IF(ISNUMBER(J287),J287+1,1)))</f>
        <v/>
      </c>
      <c r="K288" s="5" t="e">
        <f t="shared" si="30"/>
        <v>#N/A</v>
      </c>
      <c r="M288" s="6" t="str">
        <f t="shared" si="26"/>
        <v/>
      </c>
      <c r="N288" s="2" t="e">
        <f t="shared" si="27"/>
        <v>#N/A</v>
      </c>
      <c r="O288" s="7" t="str">
        <f>IF(M288="","",IF(COUNTIF(M289:$M$1000,M288)&gt;0,"",M288))</f>
        <v/>
      </c>
      <c r="P288" s="8" t="e">
        <f>IF(N288="","",IF(COUNTIF(N289:$N$1000,N288)&gt;0,"",N288))</f>
        <v>#N/A</v>
      </c>
      <c r="Q288" s="21" t="e">
        <f t="shared" si="28"/>
        <v>#NUM!</v>
      </c>
      <c r="R288" s="22" t="e">
        <f t="shared" si="29"/>
        <v>#NUM!</v>
      </c>
      <c r="S288" s="11"/>
      <c r="T288" s="11"/>
      <c r="U288" s="11"/>
      <c r="W288" s="11"/>
      <c r="X288" s="2"/>
      <c r="Y288" s="2"/>
    </row>
    <row r="289" s="1" customFormat="1" spans="1:25">
      <c r="A289" s="2">
        <v>115056924</v>
      </c>
      <c r="B289" s="2"/>
      <c r="C289" s="2"/>
      <c r="D289" s="2"/>
      <c r="E289" s="2"/>
      <c r="F289" s="2"/>
      <c r="G289" s="2"/>
      <c r="H289" s="3"/>
      <c r="I289" s="2" t="e">
        <f t="shared" si="25"/>
        <v>#N/A</v>
      </c>
      <c r="J289" s="4" t="str">
        <f>IF(H289="","",IF(OR(AND(M289&lt;&gt;"",M289=IFERROR(INDEX($M$3:M288,MIN(IF(COUNTIF($M$3:M288,"0")=0,10^9,LOOKUP(2,1/($M$3:M288="0"),ROW($M$3:M288))),IF(COUNTIF($M$3:M288,"1")=0,10^9,LOOKUP(2,1/($M$3:M288="1"),ROW($M$3:M288))),IF(COUNTIF($M$3:M288,"2")=0,10^9,LOOKUP(2,1/($M$3:M288="2"),ROW($M$3:M288))),IF(COUNTIF($M$3:M288,"3")=0,10^9,LOOKUP(2,1/($M$3:M288="3"),ROW($M$3:M288))),IF(COUNTIF($M$3:M288,"4")=0,10^9,LOOKUP(2,1/($M$3:M288="4"),ROW($M$3:M288))),IF(COUNTIF($M$3:M288,"5")=0,10^9,LOOKUP(2,1/($M$3:M288="5"),ROW($M$3:M288))),IF(COUNTIF($M$3:M288,"6")=0,10^9,LOOKUP(2,1/($M$3:M288="6"),ROW($M$3:M288))),IF(COUNTIF($M$3:M288,"7")=0,10^9,LOOKUP(2,1/($M$3:M288="7"),ROW($M$3:M288))),IF(COUNTIF($M$3:M288,"8")=0,10^9,LOOKUP(2,1/($M$3:M288="8"),ROW($M$3:M288))),IF(COUNTIF($M$3:M288,"9")=0,10^9,LOOKUP(2,1/($M$3:M288="9"),ROW($M$3:M288))))-ROW($M$3)+1),"")),AND(N289&lt;&gt;"",N289=IFERROR(INDEX($N$3:N288,MIN(IF(COUNTIF($N$3:N288,"鼠")=0,10^9,LOOKUP(2,1/($N$3:N288="鼠"),ROW($N$3:N288))),IF(COUNTIF($N$3:N288,"牛")=0,10^9,LOOKUP(2,1/($N$3:N288="牛"),ROW($N$3:N288))),IF(COUNTIF($N$3:N288,"虎")=0,10^9,LOOKUP(2,1/($N$3:N288="虎"),ROW($N$3:N288))),IF(COUNTIF($N$3:N288,"兔")=0,10^9,LOOKUP(2,1/($N$3:N288="兔"),ROW($N$3:N288))),IF(COUNTIF($N$3:N288,"龙")=0,10^9,LOOKUP(2,1/($N$3:N288="龙"),ROW($N$3:N288))),IF(COUNTIF($N$3:N288,"蛇")=0,10^9,LOOKUP(2,1/($N$3:N288="蛇"),ROW($N$3:N288))),IF(COUNTIF($N$3:N288,"马")=0,10^9,LOOKUP(2,1/($N$3:N288="马"),ROW($N$3:N288))),IF(COUNTIF($N$3:N288,"羊")=0,10^9,LOOKUP(2,1/($N$3:N288="羊"),ROW($N$3:N288))),IF(COUNTIF($N$3:N288,"猴")=0,10^9,LOOKUP(2,1/($N$3:N288="猴"),ROW($N$3:N288))),IF(COUNTIF($N$3:N288,"鸡")=0,10^9,LOOKUP(2,1/($N$3:N288="鸡"),ROW($N$3:N288))),IF(COUNTIF($N$3:N288,"狗")=0,10^9,LOOKUP(2,1/($N$3:N288="狗"),ROW($N$3:N288))),IF(COUNTIF($N$3:N288,"猪")=0,10^9,LOOKUP(2,1/($N$3:N288="猪"),ROW($N$3:N288))))-ROW($N$3)+1),""))),0,IF(ISNUMBER(J288),J288+1,1)))</f>
        <v/>
      </c>
      <c r="K289" s="5" t="e">
        <f t="shared" si="30"/>
        <v>#N/A</v>
      </c>
      <c r="M289" s="6" t="str">
        <f t="shared" si="26"/>
        <v/>
      </c>
      <c r="N289" s="2" t="e">
        <f t="shared" si="27"/>
        <v>#N/A</v>
      </c>
      <c r="O289" s="7" t="str">
        <f>IF(M289="","",IF(COUNTIF(M290:$M$1000,M289)&gt;0,"",M289))</f>
        <v/>
      </c>
      <c r="P289" s="8" t="e">
        <f>IF(N289="","",IF(COUNTIF(N290:$N$1000,N289)&gt;0,"",N289))</f>
        <v>#N/A</v>
      </c>
      <c r="Q289" s="21" t="e">
        <f t="shared" si="28"/>
        <v>#NUM!</v>
      </c>
      <c r="R289" s="22" t="e">
        <f t="shared" si="29"/>
        <v>#NUM!</v>
      </c>
      <c r="S289" s="11"/>
      <c r="T289" s="11"/>
      <c r="U289" s="11"/>
      <c r="W289" s="11"/>
      <c r="X289" s="2"/>
      <c r="Y289" s="2"/>
    </row>
    <row r="290" s="1" customFormat="1" spans="1:25">
      <c r="A290" s="2">
        <v>115056925</v>
      </c>
      <c r="B290" s="2"/>
      <c r="C290" s="2"/>
      <c r="D290" s="2"/>
      <c r="E290" s="2"/>
      <c r="F290" s="2"/>
      <c r="G290" s="2"/>
      <c r="H290" s="3"/>
      <c r="I290" s="2" t="e">
        <f t="shared" si="25"/>
        <v>#N/A</v>
      </c>
      <c r="J290" s="4" t="str">
        <f>IF(H290="","",IF(OR(AND(M290&lt;&gt;"",M290=IFERROR(INDEX($M$3:M289,MIN(IF(COUNTIF($M$3:M289,"0")=0,10^9,LOOKUP(2,1/($M$3:M289="0"),ROW($M$3:M289))),IF(COUNTIF($M$3:M289,"1")=0,10^9,LOOKUP(2,1/($M$3:M289="1"),ROW($M$3:M289))),IF(COUNTIF($M$3:M289,"2")=0,10^9,LOOKUP(2,1/($M$3:M289="2"),ROW($M$3:M289))),IF(COUNTIF($M$3:M289,"3")=0,10^9,LOOKUP(2,1/($M$3:M289="3"),ROW($M$3:M289))),IF(COUNTIF($M$3:M289,"4")=0,10^9,LOOKUP(2,1/($M$3:M289="4"),ROW($M$3:M289))),IF(COUNTIF($M$3:M289,"5")=0,10^9,LOOKUP(2,1/($M$3:M289="5"),ROW($M$3:M289))),IF(COUNTIF($M$3:M289,"6")=0,10^9,LOOKUP(2,1/($M$3:M289="6"),ROW($M$3:M289))),IF(COUNTIF($M$3:M289,"7")=0,10^9,LOOKUP(2,1/($M$3:M289="7"),ROW($M$3:M289))),IF(COUNTIF($M$3:M289,"8")=0,10^9,LOOKUP(2,1/($M$3:M289="8"),ROW($M$3:M289))),IF(COUNTIF($M$3:M289,"9")=0,10^9,LOOKUP(2,1/($M$3:M289="9"),ROW($M$3:M289))))-ROW($M$3)+1),"")),AND(N290&lt;&gt;"",N290=IFERROR(INDEX($N$3:N289,MIN(IF(COUNTIF($N$3:N289,"鼠")=0,10^9,LOOKUP(2,1/($N$3:N289="鼠"),ROW($N$3:N289))),IF(COUNTIF($N$3:N289,"牛")=0,10^9,LOOKUP(2,1/($N$3:N289="牛"),ROW($N$3:N289))),IF(COUNTIF($N$3:N289,"虎")=0,10^9,LOOKUP(2,1/($N$3:N289="虎"),ROW($N$3:N289))),IF(COUNTIF($N$3:N289,"兔")=0,10^9,LOOKUP(2,1/($N$3:N289="兔"),ROW($N$3:N289))),IF(COUNTIF($N$3:N289,"龙")=0,10^9,LOOKUP(2,1/($N$3:N289="龙"),ROW($N$3:N289))),IF(COUNTIF($N$3:N289,"蛇")=0,10^9,LOOKUP(2,1/($N$3:N289="蛇"),ROW($N$3:N289))),IF(COUNTIF($N$3:N289,"马")=0,10^9,LOOKUP(2,1/($N$3:N289="马"),ROW($N$3:N289))),IF(COUNTIF($N$3:N289,"羊")=0,10^9,LOOKUP(2,1/($N$3:N289="羊"),ROW($N$3:N289))),IF(COUNTIF($N$3:N289,"猴")=0,10^9,LOOKUP(2,1/($N$3:N289="猴"),ROW($N$3:N289))),IF(COUNTIF($N$3:N289,"鸡")=0,10^9,LOOKUP(2,1/($N$3:N289="鸡"),ROW($N$3:N289))),IF(COUNTIF($N$3:N289,"狗")=0,10^9,LOOKUP(2,1/($N$3:N289="狗"),ROW($N$3:N289))),IF(COUNTIF($N$3:N289,"猪")=0,10^9,LOOKUP(2,1/($N$3:N289="猪"),ROW($N$3:N289))))-ROW($N$3)+1),""))),0,IF(ISNUMBER(J289),J289+1,1)))</f>
        <v/>
      </c>
      <c r="K290" s="5" t="e">
        <f t="shared" si="30"/>
        <v>#N/A</v>
      </c>
      <c r="M290" s="6" t="str">
        <f t="shared" si="26"/>
        <v/>
      </c>
      <c r="N290" s="2" t="e">
        <f t="shared" si="27"/>
        <v>#N/A</v>
      </c>
      <c r="O290" s="7" t="str">
        <f>IF(M290="","",IF(COUNTIF(M291:$M$1000,M290)&gt;0,"",M290))</f>
        <v/>
      </c>
      <c r="P290" s="8" t="e">
        <f>IF(N290="","",IF(COUNTIF(N291:$N$1000,N290)&gt;0,"",N290))</f>
        <v>#N/A</v>
      </c>
      <c r="Q290" s="21" t="e">
        <f t="shared" si="28"/>
        <v>#NUM!</v>
      </c>
      <c r="R290" s="22" t="e">
        <f t="shared" si="29"/>
        <v>#NUM!</v>
      </c>
      <c r="S290" s="11"/>
      <c r="T290" s="11"/>
      <c r="U290" s="11"/>
      <c r="W290" s="11"/>
      <c r="X290" s="2"/>
      <c r="Y290" s="2"/>
    </row>
    <row r="291" s="1" customFormat="1" spans="1:25">
      <c r="A291" s="2">
        <v>115056926</v>
      </c>
      <c r="B291" s="2"/>
      <c r="C291" s="2"/>
      <c r="D291" s="2"/>
      <c r="E291" s="2"/>
      <c r="F291" s="2"/>
      <c r="G291" s="2"/>
      <c r="H291" s="3"/>
      <c r="I291" s="2" t="e">
        <f t="shared" si="25"/>
        <v>#N/A</v>
      </c>
      <c r="J291" s="4" t="str">
        <f>IF(H291="","",IF(OR(AND(M291&lt;&gt;"",M291=IFERROR(INDEX($M$3:M290,MIN(IF(COUNTIF($M$3:M290,"0")=0,10^9,LOOKUP(2,1/($M$3:M290="0"),ROW($M$3:M290))),IF(COUNTIF($M$3:M290,"1")=0,10^9,LOOKUP(2,1/($M$3:M290="1"),ROW($M$3:M290))),IF(COUNTIF($M$3:M290,"2")=0,10^9,LOOKUP(2,1/($M$3:M290="2"),ROW($M$3:M290))),IF(COUNTIF($M$3:M290,"3")=0,10^9,LOOKUP(2,1/($M$3:M290="3"),ROW($M$3:M290))),IF(COUNTIF($M$3:M290,"4")=0,10^9,LOOKUP(2,1/($M$3:M290="4"),ROW($M$3:M290))),IF(COUNTIF($M$3:M290,"5")=0,10^9,LOOKUP(2,1/($M$3:M290="5"),ROW($M$3:M290))),IF(COUNTIF($M$3:M290,"6")=0,10^9,LOOKUP(2,1/($M$3:M290="6"),ROW($M$3:M290))),IF(COUNTIF($M$3:M290,"7")=0,10^9,LOOKUP(2,1/($M$3:M290="7"),ROW($M$3:M290))),IF(COUNTIF($M$3:M290,"8")=0,10^9,LOOKUP(2,1/($M$3:M290="8"),ROW($M$3:M290))),IF(COUNTIF($M$3:M290,"9")=0,10^9,LOOKUP(2,1/($M$3:M290="9"),ROW($M$3:M290))))-ROW($M$3)+1),"")),AND(N291&lt;&gt;"",N291=IFERROR(INDEX($N$3:N290,MIN(IF(COUNTIF($N$3:N290,"鼠")=0,10^9,LOOKUP(2,1/($N$3:N290="鼠"),ROW($N$3:N290))),IF(COUNTIF($N$3:N290,"牛")=0,10^9,LOOKUP(2,1/($N$3:N290="牛"),ROW($N$3:N290))),IF(COUNTIF($N$3:N290,"虎")=0,10^9,LOOKUP(2,1/($N$3:N290="虎"),ROW($N$3:N290))),IF(COUNTIF($N$3:N290,"兔")=0,10^9,LOOKUP(2,1/($N$3:N290="兔"),ROW($N$3:N290))),IF(COUNTIF($N$3:N290,"龙")=0,10^9,LOOKUP(2,1/($N$3:N290="龙"),ROW($N$3:N290))),IF(COUNTIF($N$3:N290,"蛇")=0,10^9,LOOKUP(2,1/($N$3:N290="蛇"),ROW($N$3:N290))),IF(COUNTIF($N$3:N290,"马")=0,10^9,LOOKUP(2,1/($N$3:N290="马"),ROW($N$3:N290))),IF(COUNTIF($N$3:N290,"羊")=0,10^9,LOOKUP(2,1/($N$3:N290="羊"),ROW($N$3:N290))),IF(COUNTIF($N$3:N290,"猴")=0,10^9,LOOKUP(2,1/($N$3:N290="猴"),ROW($N$3:N290))),IF(COUNTIF($N$3:N290,"鸡")=0,10^9,LOOKUP(2,1/($N$3:N290="鸡"),ROW($N$3:N290))),IF(COUNTIF($N$3:N290,"狗")=0,10^9,LOOKUP(2,1/($N$3:N290="狗"),ROW($N$3:N290))),IF(COUNTIF($N$3:N290,"猪")=0,10^9,LOOKUP(2,1/($N$3:N290="猪"),ROW($N$3:N290))))-ROW($N$3)+1),""))),0,IF(ISNUMBER(J290),J290+1,1)))</f>
        <v/>
      </c>
      <c r="K291" s="5" t="e">
        <f t="shared" si="30"/>
        <v>#N/A</v>
      </c>
      <c r="M291" s="6" t="str">
        <f t="shared" si="26"/>
        <v/>
      </c>
      <c r="N291" s="2" t="e">
        <f t="shared" si="27"/>
        <v>#N/A</v>
      </c>
      <c r="O291" s="7" t="str">
        <f>IF(M291="","",IF(COUNTIF(M292:$M$1000,M291)&gt;0,"",M291))</f>
        <v/>
      </c>
      <c r="P291" s="8" t="e">
        <f>IF(N291="","",IF(COUNTIF(N292:$N$1000,N291)&gt;0,"",N291))</f>
        <v>#N/A</v>
      </c>
      <c r="Q291" s="21" t="e">
        <f t="shared" si="28"/>
        <v>#NUM!</v>
      </c>
      <c r="R291" s="22" t="e">
        <f t="shared" si="29"/>
        <v>#NUM!</v>
      </c>
      <c r="S291" s="11"/>
      <c r="T291" s="11"/>
      <c r="U291" s="11"/>
      <c r="W291" s="11"/>
      <c r="X291" s="2"/>
      <c r="Y291" s="2"/>
    </row>
    <row r="292" s="1" customFormat="1" spans="1:25">
      <c r="A292" s="2">
        <v>115056927</v>
      </c>
      <c r="B292" s="2"/>
      <c r="C292" s="2"/>
      <c r="D292" s="2"/>
      <c r="E292" s="2"/>
      <c r="F292" s="2"/>
      <c r="G292" s="2"/>
      <c r="H292" s="3"/>
      <c r="I292" s="2" t="e">
        <f t="shared" si="25"/>
        <v>#N/A</v>
      </c>
      <c r="J292" s="4" t="str">
        <f>IF(H292="","",IF(OR(AND(M292&lt;&gt;"",M292=IFERROR(INDEX($M$3:M291,MIN(IF(COUNTIF($M$3:M291,"0")=0,10^9,LOOKUP(2,1/($M$3:M291="0"),ROW($M$3:M291))),IF(COUNTIF($M$3:M291,"1")=0,10^9,LOOKUP(2,1/($M$3:M291="1"),ROW($M$3:M291))),IF(COUNTIF($M$3:M291,"2")=0,10^9,LOOKUP(2,1/($M$3:M291="2"),ROW($M$3:M291))),IF(COUNTIF($M$3:M291,"3")=0,10^9,LOOKUP(2,1/($M$3:M291="3"),ROW($M$3:M291))),IF(COUNTIF($M$3:M291,"4")=0,10^9,LOOKUP(2,1/($M$3:M291="4"),ROW($M$3:M291))),IF(COUNTIF($M$3:M291,"5")=0,10^9,LOOKUP(2,1/($M$3:M291="5"),ROW($M$3:M291))),IF(COUNTIF($M$3:M291,"6")=0,10^9,LOOKUP(2,1/($M$3:M291="6"),ROW($M$3:M291))),IF(COUNTIF($M$3:M291,"7")=0,10^9,LOOKUP(2,1/($M$3:M291="7"),ROW($M$3:M291))),IF(COUNTIF($M$3:M291,"8")=0,10^9,LOOKUP(2,1/($M$3:M291="8"),ROW($M$3:M291))),IF(COUNTIF($M$3:M291,"9")=0,10^9,LOOKUP(2,1/($M$3:M291="9"),ROW($M$3:M291))))-ROW($M$3)+1),"")),AND(N292&lt;&gt;"",N292=IFERROR(INDEX($N$3:N291,MIN(IF(COUNTIF($N$3:N291,"鼠")=0,10^9,LOOKUP(2,1/($N$3:N291="鼠"),ROW($N$3:N291))),IF(COUNTIF($N$3:N291,"牛")=0,10^9,LOOKUP(2,1/($N$3:N291="牛"),ROW($N$3:N291))),IF(COUNTIF($N$3:N291,"虎")=0,10^9,LOOKUP(2,1/($N$3:N291="虎"),ROW($N$3:N291))),IF(COUNTIF($N$3:N291,"兔")=0,10^9,LOOKUP(2,1/($N$3:N291="兔"),ROW($N$3:N291))),IF(COUNTIF($N$3:N291,"龙")=0,10^9,LOOKUP(2,1/($N$3:N291="龙"),ROW($N$3:N291))),IF(COUNTIF($N$3:N291,"蛇")=0,10^9,LOOKUP(2,1/($N$3:N291="蛇"),ROW($N$3:N291))),IF(COUNTIF($N$3:N291,"马")=0,10^9,LOOKUP(2,1/($N$3:N291="马"),ROW($N$3:N291))),IF(COUNTIF($N$3:N291,"羊")=0,10^9,LOOKUP(2,1/($N$3:N291="羊"),ROW($N$3:N291))),IF(COUNTIF($N$3:N291,"猴")=0,10^9,LOOKUP(2,1/($N$3:N291="猴"),ROW($N$3:N291))),IF(COUNTIF($N$3:N291,"鸡")=0,10^9,LOOKUP(2,1/($N$3:N291="鸡"),ROW($N$3:N291))),IF(COUNTIF($N$3:N291,"狗")=0,10^9,LOOKUP(2,1/($N$3:N291="狗"),ROW($N$3:N291))),IF(COUNTIF($N$3:N291,"猪")=0,10^9,LOOKUP(2,1/($N$3:N291="猪"),ROW($N$3:N291))))-ROW($N$3)+1),""))),0,IF(ISNUMBER(J291),J291+1,1)))</f>
        <v/>
      </c>
      <c r="K292" s="5" t="e">
        <f t="shared" si="30"/>
        <v>#N/A</v>
      </c>
      <c r="M292" s="6" t="str">
        <f t="shared" si="26"/>
        <v/>
      </c>
      <c r="N292" s="2" t="e">
        <f t="shared" si="27"/>
        <v>#N/A</v>
      </c>
      <c r="O292" s="7" t="str">
        <f>IF(M292="","",IF(COUNTIF(M293:$M$1000,M292)&gt;0,"",M292))</f>
        <v/>
      </c>
      <c r="P292" s="8" t="e">
        <f>IF(N292="","",IF(COUNTIF(N293:$N$1000,N292)&gt;0,"",N292))</f>
        <v>#N/A</v>
      </c>
      <c r="Q292" s="21" t="e">
        <f t="shared" si="28"/>
        <v>#NUM!</v>
      </c>
      <c r="R292" s="22" t="e">
        <f t="shared" si="29"/>
        <v>#NUM!</v>
      </c>
      <c r="S292" s="11"/>
      <c r="T292" s="11"/>
      <c r="U292" s="11"/>
      <c r="W292" s="11"/>
      <c r="X292" s="2"/>
      <c r="Y292" s="2"/>
    </row>
    <row r="293" s="1" customFormat="1" spans="1:25">
      <c r="A293" s="2">
        <v>115056928</v>
      </c>
      <c r="B293" s="2"/>
      <c r="C293" s="2"/>
      <c r="D293" s="2"/>
      <c r="E293" s="2"/>
      <c r="F293" s="2"/>
      <c r="G293" s="2"/>
      <c r="H293" s="3"/>
      <c r="I293" s="2" t="e">
        <f t="shared" si="25"/>
        <v>#N/A</v>
      </c>
      <c r="J293" s="4" t="str">
        <f>IF(H293="","",IF(OR(AND(M293&lt;&gt;"",M293=IFERROR(INDEX($M$3:M292,MIN(IF(COUNTIF($M$3:M292,"0")=0,10^9,LOOKUP(2,1/($M$3:M292="0"),ROW($M$3:M292))),IF(COUNTIF($M$3:M292,"1")=0,10^9,LOOKUP(2,1/($M$3:M292="1"),ROW($M$3:M292))),IF(COUNTIF($M$3:M292,"2")=0,10^9,LOOKUP(2,1/($M$3:M292="2"),ROW($M$3:M292))),IF(COUNTIF($M$3:M292,"3")=0,10^9,LOOKUP(2,1/($M$3:M292="3"),ROW($M$3:M292))),IF(COUNTIF($M$3:M292,"4")=0,10^9,LOOKUP(2,1/($M$3:M292="4"),ROW($M$3:M292))),IF(COUNTIF($M$3:M292,"5")=0,10^9,LOOKUP(2,1/($M$3:M292="5"),ROW($M$3:M292))),IF(COUNTIF($M$3:M292,"6")=0,10^9,LOOKUP(2,1/($M$3:M292="6"),ROW($M$3:M292))),IF(COUNTIF($M$3:M292,"7")=0,10^9,LOOKUP(2,1/($M$3:M292="7"),ROW($M$3:M292))),IF(COUNTIF($M$3:M292,"8")=0,10^9,LOOKUP(2,1/($M$3:M292="8"),ROW($M$3:M292))),IF(COUNTIF($M$3:M292,"9")=0,10^9,LOOKUP(2,1/($M$3:M292="9"),ROW($M$3:M292))))-ROW($M$3)+1),"")),AND(N293&lt;&gt;"",N293=IFERROR(INDEX($N$3:N292,MIN(IF(COUNTIF($N$3:N292,"鼠")=0,10^9,LOOKUP(2,1/($N$3:N292="鼠"),ROW($N$3:N292))),IF(COUNTIF($N$3:N292,"牛")=0,10^9,LOOKUP(2,1/($N$3:N292="牛"),ROW($N$3:N292))),IF(COUNTIF($N$3:N292,"虎")=0,10^9,LOOKUP(2,1/($N$3:N292="虎"),ROW($N$3:N292))),IF(COUNTIF($N$3:N292,"兔")=0,10^9,LOOKUP(2,1/($N$3:N292="兔"),ROW($N$3:N292))),IF(COUNTIF($N$3:N292,"龙")=0,10^9,LOOKUP(2,1/($N$3:N292="龙"),ROW($N$3:N292))),IF(COUNTIF($N$3:N292,"蛇")=0,10^9,LOOKUP(2,1/($N$3:N292="蛇"),ROW($N$3:N292))),IF(COUNTIF($N$3:N292,"马")=0,10^9,LOOKUP(2,1/($N$3:N292="马"),ROW($N$3:N292))),IF(COUNTIF($N$3:N292,"羊")=0,10^9,LOOKUP(2,1/($N$3:N292="羊"),ROW($N$3:N292))),IF(COUNTIF($N$3:N292,"猴")=0,10^9,LOOKUP(2,1/($N$3:N292="猴"),ROW($N$3:N292))),IF(COUNTIF($N$3:N292,"鸡")=0,10^9,LOOKUP(2,1/($N$3:N292="鸡"),ROW($N$3:N292))),IF(COUNTIF($N$3:N292,"狗")=0,10^9,LOOKUP(2,1/($N$3:N292="狗"),ROW($N$3:N292))),IF(COUNTIF($N$3:N292,"猪")=0,10^9,LOOKUP(2,1/($N$3:N292="猪"),ROW($N$3:N292))))-ROW($N$3)+1),""))),0,IF(ISNUMBER(J292),J292+1,1)))</f>
        <v/>
      </c>
      <c r="K293" s="5" t="e">
        <f t="shared" si="30"/>
        <v>#N/A</v>
      </c>
      <c r="M293" s="6" t="str">
        <f t="shared" si="26"/>
        <v/>
      </c>
      <c r="N293" s="2" t="e">
        <f t="shared" si="27"/>
        <v>#N/A</v>
      </c>
      <c r="O293" s="7" t="str">
        <f>IF(M293="","",IF(COUNTIF(M294:$M$1000,M293)&gt;0,"",M293))</f>
        <v/>
      </c>
      <c r="P293" s="8" t="e">
        <f>IF(N293="","",IF(COUNTIF(N294:$N$1000,N293)&gt;0,"",N293))</f>
        <v>#N/A</v>
      </c>
      <c r="Q293" s="21" t="e">
        <f t="shared" si="28"/>
        <v>#NUM!</v>
      </c>
      <c r="R293" s="22" t="e">
        <f t="shared" si="29"/>
        <v>#NUM!</v>
      </c>
      <c r="S293" s="11"/>
      <c r="T293" s="11"/>
      <c r="U293" s="11"/>
      <c r="W293" s="11"/>
      <c r="X293" s="2"/>
      <c r="Y293" s="2"/>
    </row>
    <row r="294" s="1" customFormat="1" spans="1:25">
      <c r="A294" s="2">
        <v>115056929</v>
      </c>
      <c r="B294" s="2"/>
      <c r="C294" s="2"/>
      <c r="D294" s="2"/>
      <c r="E294" s="2"/>
      <c r="F294" s="2"/>
      <c r="G294" s="2"/>
      <c r="H294" s="3"/>
      <c r="I294" s="2" t="e">
        <f t="shared" si="25"/>
        <v>#N/A</v>
      </c>
      <c r="J294" s="4" t="str">
        <f>IF(H294="","",IF(OR(AND(M294&lt;&gt;"",M294=IFERROR(INDEX($M$3:M293,MIN(IF(COUNTIF($M$3:M293,"0")=0,10^9,LOOKUP(2,1/($M$3:M293="0"),ROW($M$3:M293))),IF(COUNTIF($M$3:M293,"1")=0,10^9,LOOKUP(2,1/($M$3:M293="1"),ROW($M$3:M293))),IF(COUNTIF($M$3:M293,"2")=0,10^9,LOOKUP(2,1/($M$3:M293="2"),ROW($M$3:M293))),IF(COUNTIF($M$3:M293,"3")=0,10^9,LOOKUP(2,1/($M$3:M293="3"),ROW($M$3:M293))),IF(COUNTIF($M$3:M293,"4")=0,10^9,LOOKUP(2,1/($M$3:M293="4"),ROW($M$3:M293))),IF(COUNTIF($M$3:M293,"5")=0,10^9,LOOKUP(2,1/($M$3:M293="5"),ROW($M$3:M293))),IF(COUNTIF($M$3:M293,"6")=0,10^9,LOOKUP(2,1/($M$3:M293="6"),ROW($M$3:M293))),IF(COUNTIF($M$3:M293,"7")=0,10^9,LOOKUP(2,1/($M$3:M293="7"),ROW($M$3:M293))),IF(COUNTIF($M$3:M293,"8")=0,10^9,LOOKUP(2,1/($M$3:M293="8"),ROW($M$3:M293))),IF(COUNTIF($M$3:M293,"9")=0,10^9,LOOKUP(2,1/($M$3:M293="9"),ROW($M$3:M293))))-ROW($M$3)+1),"")),AND(N294&lt;&gt;"",N294=IFERROR(INDEX($N$3:N293,MIN(IF(COUNTIF($N$3:N293,"鼠")=0,10^9,LOOKUP(2,1/($N$3:N293="鼠"),ROW($N$3:N293))),IF(COUNTIF($N$3:N293,"牛")=0,10^9,LOOKUP(2,1/($N$3:N293="牛"),ROW($N$3:N293))),IF(COUNTIF($N$3:N293,"虎")=0,10^9,LOOKUP(2,1/($N$3:N293="虎"),ROW($N$3:N293))),IF(COUNTIF($N$3:N293,"兔")=0,10^9,LOOKUP(2,1/($N$3:N293="兔"),ROW($N$3:N293))),IF(COUNTIF($N$3:N293,"龙")=0,10^9,LOOKUP(2,1/($N$3:N293="龙"),ROW($N$3:N293))),IF(COUNTIF($N$3:N293,"蛇")=0,10^9,LOOKUP(2,1/($N$3:N293="蛇"),ROW($N$3:N293))),IF(COUNTIF($N$3:N293,"马")=0,10^9,LOOKUP(2,1/($N$3:N293="马"),ROW($N$3:N293))),IF(COUNTIF($N$3:N293,"羊")=0,10^9,LOOKUP(2,1/($N$3:N293="羊"),ROW($N$3:N293))),IF(COUNTIF($N$3:N293,"猴")=0,10^9,LOOKUP(2,1/($N$3:N293="猴"),ROW($N$3:N293))),IF(COUNTIF($N$3:N293,"鸡")=0,10^9,LOOKUP(2,1/($N$3:N293="鸡"),ROW($N$3:N293))),IF(COUNTIF($N$3:N293,"狗")=0,10^9,LOOKUP(2,1/($N$3:N293="狗"),ROW($N$3:N293))),IF(COUNTIF($N$3:N293,"猪")=0,10^9,LOOKUP(2,1/($N$3:N293="猪"),ROW($N$3:N293))))-ROW($N$3)+1),""))),0,IF(ISNUMBER(J293),J293+1,1)))</f>
        <v/>
      </c>
      <c r="K294" s="5" t="e">
        <f t="shared" si="30"/>
        <v>#N/A</v>
      </c>
      <c r="M294" s="6" t="str">
        <f t="shared" si="26"/>
        <v/>
      </c>
      <c r="N294" s="2" t="e">
        <f t="shared" si="27"/>
        <v>#N/A</v>
      </c>
      <c r="O294" s="7" t="str">
        <f>IF(M294="","",IF(COUNTIF(M295:$M$1000,M294)&gt;0,"",M294))</f>
        <v/>
      </c>
      <c r="P294" s="8" t="e">
        <f>IF(N294="","",IF(COUNTIF(N295:$N$1000,N294)&gt;0,"",N294))</f>
        <v>#N/A</v>
      </c>
      <c r="Q294" s="21" t="e">
        <f t="shared" si="28"/>
        <v>#NUM!</v>
      </c>
      <c r="R294" s="22" t="e">
        <f t="shared" si="29"/>
        <v>#NUM!</v>
      </c>
      <c r="S294" s="11"/>
      <c r="T294" s="11"/>
      <c r="U294" s="11"/>
      <c r="W294" s="11"/>
      <c r="X294" s="2"/>
      <c r="Y294" s="2"/>
    </row>
    <row r="295" s="1" customFormat="1" spans="1:25">
      <c r="A295" s="2">
        <v>115056930</v>
      </c>
      <c r="B295" s="2"/>
      <c r="C295" s="2"/>
      <c r="D295" s="2"/>
      <c r="E295" s="2"/>
      <c r="F295" s="2"/>
      <c r="G295" s="2"/>
      <c r="H295" s="3"/>
      <c r="I295" s="2" t="e">
        <f t="shared" si="25"/>
        <v>#N/A</v>
      </c>
      <c r="J295" s="4" t="str">
        <f>IF(H295="","",IF(OR(AND(M295&lt;&gt;"",M295=IFERROR(INDEX($M$3:M294,MIN(IF(COUNTIF($M$3:M294,"0")=0,10^9,LOOKUP(2,1/($M$3:M294="0"),ROW($M$3:M294))),IF(COUNTIF($M$3:M294,"1")=0,10^9,LOOKUP(2,1/($M$3:M294="1"),ROW($M$3:M294))),IF(COUNTIF($M$3:M294,"2")=0,10^9,LOOKUP(2,1/($M$3:M294="2"),ROW($M$3:M294))),IF(COUNTIF($M$3:M294,"3")=0,10^9,LOOKUP(2,1/($M$3:M294="3"),ROW($M$3:M294))),IF(COUNTIF($M$3:M294,"4")=0,10^9,LOOKUP(2,1/($M$3:M294="4"),ROW($M$3:M294))),IF(COUNTIF($M$3:M294,"5")=0,10^9,LOOKUP(2,1/($M$3:M294="5"),ROW($M$3:M294))),IF(COUNTIF($M$3:M294,"6")=0,10^9,LOOKUP(2,1/($M$3:M294="6"),ROW($M$3:M294))),IF(COUNTIF($M$3:M294,"7")=0,10^9,LOOKUP(2,1/($M$3:M294="7"),ROW($M$3:M294))),IF(COUNTIF($M$3:M294,"8")=0,10^9,LOOKUP(2,1/($M$3:M294="8"),ROW($M$3:M294))),IF(COUNTIF($M$3:M294,"9")=0,10^9,LOOKUP(2,1/($M$3:M294="9"),ROW($M$3:M294))))-ROW($M$3)+1),"")),AND(N295&lt;&gt;"",N295=IFERROR(INDEX($N$3:N294,MIN(IF(COUNTIF($N$3:N294,"鼠")=0,10^9,LOOKUP(2,1/($N$3:N294="鼠"),ROW($N$3:N294))),IF(COUNTIF($N$3:N294,"牛")=0,10^9,LOOKUP(2,1/($N$3:N294="牛"),ROW($N$3:N294))),IF(COUNTIF($N$3:N294,"虎")=0,10^9,LOOKUP(2,1/($N$3:N294="虎"),ROW($N$3:N294))),IF(COUNTIF($N$3:N294,"兔")=0,10^9,LOOKUP(2,1/($N$3:N294="兔"),ROW($N$3:N294))),IF(COUNTIF($N$3:N294,"龙")=0,10^9,LOOKUP(2,1/($N$3:N294="龙"),ROW($N$3:N294))),IF(COUNTIF($N$3:N294,"蛇")=0,10^9,LOOKUP(2,1/($N$3:N294="蛇"),ROW($N$3:N294))),IF(COUNTIF($N$3:N294,"马")=0,10^9,LOOKUP(2,1/($N$3:N294="马"),ROW($N$3:N294))),IF(COUNTIF($N$3:N294,"羊")=0,10^9,LOOKUP(2,1/($N$3:N294="羊"),ROW($N$3:N294))),IF(COUNTIF($N$3:N294,"猴")=0,10^9,LOOKUP(2,1/($N$3:N294="猴"),ROW($N$3:N294))),IF(COUNTIF($N$3:N294,"鸡")=0,10^9,LOOKUP(2,1/($N$3:N294="鸡"),ROW($N$3:N294))),IF(COUNTIF($N$3:N294,"狗")=0,10^9,LOOKUP(2,1/($N$3:N294="狗"),ROW($N$3:N294))),IF(COUNTIF($N$3:N294,"猪")=0,10^9,LOOKUP(2,1/($N$3:N294="猪"),ROW($N$3:N294))))-ROW($N$3)+1),""))),0,IF(ISNUMBER(J294),J294+1,1)))</f>
        <v/>
      </c>
      <c r="K295" s="5" t="e">
        <f t="shared" si="30"/>
        <v>#N/A</v>
      </c>
      <c r="M295" s="6" t="str">
        <f t="shared" si="26"/>
        <v/>
      </c>
      <c r="N295" s="2" t="e">
        <f t="shared" si="27"/>
        <v>#N/A</v>
      </c>
      <c r="O295" s="7" t="str">
        <f>IF(M295="","",IF(COUNTIF(M296:$M$1000,M295)&gt;0,"",M295))</f>
        <v/>
      </c>
      <c r="P295" s="8" t="e">
        <f>IF(N295="","",IF(COUNTIF(N296:$N$1000,N295)&gt;0,"",N295))</f>
        <v>#N/A</v>
      </c>
      <c r="Q295" s="21" t="e">
        <f t="shared" si="28"/>
        <v>#NUM!</v>
      </c>
      <c r="R295" s="22" t="e">
        <f t="shared" si="29"/>
        <v>#NUM!</v>
      </c>
      <c r="S295" s="11"/>
      <c r="T295" s="11"/>
      <c r="U295" s="11"/>
      <c r="W295" s="11"/>
      <c r="X295" s="2"/>
      <c r="Y295" s="2"/>
    </row>
    <row r="296" s="1" customFormat="1" spans="1:25">
      <c r="A296" s="2">
        <v>115056931</v>
      </c>
      <c r="B296" s="2"/>
      <c r="C296" s="2"/>
      <c r="D296" s="2"/>
      <c r="E296" s="2"/>
      <c r="F296" s="2"/>
      <c r="G296" s="2"/>
      <c r="H296" s="3"/>
      <c r="I296" s="2" t="e">
        <f t="shared" si="25"/>
        <v>#N/A</v>
      </c>
      <c r="J296" s="4" t="str">
        <f>IF(H296="","",IF(OR(AND(M296&lt;&gt;"",M296=IFERROR(INDEX($M$3:M295,MIN(IF(COUNTIF($M$3:M295,"0")=0,10^9,LOOKUP(2,1/($M$3:M295="0"),ROW($M$3:M295))),IF(COUNTIF($M$3:M295,"1")=0,10^9,LOOKUP(2,1/($M$3:M295="1"),ROW($M$3:M295))),IF(COUNTIF($M$3:M295,"2")=0,10^9,LOOKUP(2,1/($M$3:M295="2"),ROW($M$3:M295))),IF(COUNTIF($M$3:M295,"3")=0,10^9,LOOKUP(2,1/($M$3:M295="3"),ROW($M$3:M295))),IF(COUNTIF($M$3:M295,"4")=0,10^9,LOOKUP(2,1/($M$3:M295="4"),ROW($M$3:M295))),IF(COUNTIF($M$3:M295,"5")=0,10^9,LOOKUP(2,1/($M$3:M295="5"),ROW($M$3:M295))),IF(COUNTIF($M$3:M295,"6")=0,10^9,LOOKUP(2,1/($M$3:M295="6"),ROW($M$3:M295))),IF(COUNTIF($M$3:M295,"7")=0,10^9,LOOKUP(2,1/($M$3:M295="7"),ROW($M$3:M295))),IF(COUNTIF($M$3:M295,"8")=0,10^9,LOOKUP(2,1/($M$3:M295="8"),ROW($M$3:M295))),IF(COUNTIF($M$3:M295,"9")=0,10^9,LOOKUP(2,1/($M$3:M295="9"),ROW($M$3:M295))))-ROW($M$3)+1),"")),AND(N296&lt;&gt;"",N296=IFERROR(INDEX($N$3:N295,MIN(IF(COUNTIF($N$3:N295,"鼠")=0,10^9,LOOKUP(2,1/($N$3:N295="鼠"),ROW($N$3:N295))),IF(COUNTIF($N$3:N295,"牛")=0,10^9,LOOKUP(2,1/($N$3:N295="牛"),ROW($N$3:N295))),IF(COUNTIF($N$3:N295,"虎")=0,10^9,LOOKUP(2,1/($N$3:N295="虎"),ROW($N$3:N295))),IF(COUNTIF($N$3:N295,"兔")=0,10^9,LOOKUP(2,1/($N$3:N295="兔"),ROW($N$3:N295))),IF(COUNTIF($N$3:N295,"龙")=0,10^9,LOOKUP(2,1/($N$3:N295="龙"),ROW($N$3:N295))),IF(COUNTIF($N$3:N295,"蛇")=0,10^9,LOOKUP(2,1/($N$3:N295="蛇"),ROW($N$3:N295))),IF(COUNTIF($N$3:N295,"马")=0,10^9,LOOKUP(2,1/($N$3:N295="马"),ROW($N$3:N295))),IF(COUNTIF($N$3:N295,"羊")=0,10^9,LOOKUP(2,1/($N$3:N295="羊"),ROW($N$3:N295))),IF(COUNTIF($N$3:N295,"猴")=0,10^9,LOOKUP(2,1/($N$3:N295="猴"),ROW($N$3:N295))),IF(COUNTIF($N$3:N295,"鸡")=0,10^9,LOOKUP(2,1/($N$3:N295="鸡"),ROW($N$3:N295))),IF(COUNTIF($N$3:N295,"狗")=0,10^9,LOOKUP(2,1/($N$3:N295="狗"),ROW($N$3:N295))),IF(COUNTIF($N$3:N295,"猪")=0,10^9,LOOKUP(2,1/($N$3:N295="猪"),ROW($N$3:N295))))-ROW($N$3)+1),""))),0,IF(ISNUMBER(J295),J295+1,1)))</f>
        <v/>
      </c>
      <c r="K296" s="5" t="e">
        <f t="shared" si="30"/>
        <v>#N/A</v>
      </c>
      <c r="M296" s="6" t="str">
        <f t="shared" si="26"/>
        <v/>
      </c>
      <c r="N296" s="2" t="e">
        <f t="shared" si="27"/>
        <v>#N/A</v>
      </c>
      <c r="O296" s="7" t="str">
        <f>IF(M296="","",IF(COUNTIF(M297:$M$1000,M296)&gt;0,"",M296))</f>
        <v/>
      </c>
      <c r="P296" s="8" t="e">
        <f>IF(N296="","",IF(COUNTIF(N297:$N$1000,N296)&gt;0,"",N296))</f>
        <v>#N/A</v>
      </c>
      <c r="Q296" s="21" t="e">
        <f t="shared" si="28"/>
        <v>#NUM!</v>
      </c>
      <c r="R296" s="22" t="e">
        <f t="shared" si="29"/>
        <v>#NUM!</v>
      </c>
      <c r="S296" s="11"/>
      <c r="T296" s="11"/>
      <c r="U296" s="11"/>
      <c r="W296" s="11"/>
      <c r="X296" s="2"/>
      <c r="Y296" s="2"/>
    </row>
    <row r="297" s="1" customFormat="1" spans="1:25">
      <c r="A297" s="2">
        <v>115056932</v>
      </c>
      <c r="B297" s="2"/>
      <c r="C297" s="2"/>
      <c r="D297" s="2"/>
      <c r="E297" s="2"/>
      <c r="F297" s="2"/>
      <c r="G297" s="2"/>
      <c r="H297" s="3"/>
      <c r="I297" s="2" t="e">
        <f t="shared" si="25"/>
        <v>#N/A</v>
      </c>
      <c r="J297" s="4" t="str">
        <f>IF(H297="","",IF(OR(AND(M297&lt;&gt;"",M297=IFERROR(INDEX($M$3:M296,MIN(IF(COUNTIF($M$3:M296,"0")=0,10^9,LOOKUP(2,1/($M$3:M296="0"),ROW($M$3:M296))),IF(COUNTIF($M$3:M296,"1")=0,10^9,LOOKUP(2,1/($M$3:M296="1"),ROW($M$3:M296))),IF(COUNTIF($M$3:M296,"2")=0,10^9,LOOKUP(2,1/($M$3:M296="2"),ROW($M$3:M296))),IF(COUNTIF($M$3:M296,"3")=0,10^9,LOOKUP(2,1/($M$3:M296="3"),ROW($M$3:M296))),IF(COUNTIF($M$3:M296,"4")=0,10^9,LOOKUP(2,1/($M$3:M296="4"),ROW($M$3:M296))),IF(COUNTIF($M$3:M296,"5")=0,10^9,LOOKUP(2,1/($M$3:M296="5"),ROW($M$3:M296))),IF(COUNTIF($M$3:M296,"6")=0,10^9,LOOKUP(2,1/($M$3:M296="6"),ROW($M$3:M296))),IF(COUNTIF($M$3:M296,"7")=0,10^9,LOOKUP(2,1/($M$3:M296="7"),ROW($M$3:M296))),IF(COUNTIF($M$3:M296,"8")=0,10^9,LOOKUP(2,1/($M$3:M296="8"),ROW($M$3:M296))),IF(COUNTIF($M$3:M296,"9")=0,10^9,LOOKUP(2,1/($M$3:M296="9"),ROW($M$3:M296))))-ROW($M$3)+1),"")),AND(N297&lt;&gt;"",N297=IFERROR(INDEX($N$3:N296,MIN(IF(COUNTIF($N$3:N296,"鼠")=0,10^9,LOOKUP(2,1/($N$3:N296="鼠"),ROW($N$3:N296))),IF(COUNTIF($N$3:N296,"牛")=0,10^9,LOOKUP(2,1/($N$3:N296="牛"),ROW($N$3:N296))),IF(COUNTIF($N$3:N296,"虎")=0,10^9,LOOKUP(2,1/($N$3:N296="虎"),ROW($N$3:N296))),IF(COUNTIF($N$3:N296,"兔")=0,10^9,LOOKUP(2,1/($N$3:N296="兔"),ROW($N$3:N296))),IF(COUNTIF($N$3:N296,"龙")=0,10^9,LOOKUP(2,1/($N$3:N296="龙"),ROW($N$3:N296))),IF(COUNTIF($N$3:N296,"蛇")=0,10^9,LOOKUP(2,1/($N$3:N296="蛇"),ROW($N$3:N296))),IF(COUNTIF($N$3:N296,"马")=0,10^9,LOOKUP(2,1/($N$3:N296="马"),ROW($N$3:N296))),IF(COUNTIF($N$3:N296,"羊")=0,10^9,LOOKUP(2,1/($N$3:N296="羊"),ROW($N$3:N296))),IF(COUNTIF($N$3:N296,"猴")=0,10^9,LOOKUP(2,1/($N$3:N296="猴"),ROW($N$3:N296))),IF(COUNTIF($N$3:N296,"鸡")=0,10^9,LOOKUP(2,1/($N$3:N296="鸡"),ROW($N$3:N296))),IF(COUNTIF($N$3:N296,"狗")=0,10^9,LOOKUP(2,1/($N$3:N296="狗"),ROW($N$3:N296))),IF(COUNTIF($N$3:N296,"猪")=0,10^9,LOOKUP(2,1/($N$3:N296="猪"),ROW($N$3:N296))))-ROW($N$3)+1),""))),0,IF(ISNUMBER(J296),J296+1,1)))</f>
        <v/>
      </c>
      <c r="K297" s="5" t="e">
        <f t="shared" si="30"/>
        <v>#N/A</v>
      </c>
      <c r="M297" s="6" t="str">
        <f t="shared" si="26"/>
        <v/>
      </c>
      <c r="N297" s="2" t="e">
        <f t="shared" si="27"/>
        <v>#N/A</v>
      </c>
      <c r="O297" s="7" t="str">
        <f>IF(M297="","",IF(COUNTIF(M298:$M$1000,M297)&gt;0,"",M297))</f>
        <v/>
      </c>
      <c r="P297" s="8" t="e">
        <f>IF(N297="","",IF(COUNTIF(N298:$N$1000,N297)&gt;0,"",N297))</f>
        <v>#N/A</v>
      </c>
      <c r="Q297" s="21" t="e">
        <f t="shared" si="28"/>
        <v>#NUM!</v>
      </c>
      <c r="R297" s="22" t="e">
        <f t="shared" si="29"/>
        <v>#NUM!</v>
      </c>
      <c r="S297" s="11"/>
      <c r="T297" s="11"/>
      <c r="U297" s="11"/>
      <c r="W297" s="11"/>
      <c r="X297" s="2"/>
      <c r="Y297" s="2"/>
    </row>
    <row r="298" s="1" customFormat="1" spans="1:25">
      <c r="A298" s="2">
        <v>115056933</v>
      </c>
      <c r="B298" s="2"/>
      <c r="C298" s="2"/>
      <c r="D298" s="2"/>
      <c r="E298" s="2"/>
      <c r="F298" s="2"/>
      <c r="G298" s="2"/>
      <c r="H298" s="3"/>
      <c r="I298" s="2" t="e">
        <f t="shared" si="25"/>
        <v>#N/A</v>
      </c>
      <c r="J298" s="4" t="str">
        <f>IF(H298="","",IF(OR(AND(M298&lt;&gt;"",M298=IFERROR(INDEX($M$3:M297,MIN(IF(COUNTIF($M$3:M297,"0")=0,10^9,LOOKUP(2,1/($M$3:M297="0"),ROW($M$3:M297))),IF(COUNTIF($M$3:M297,"1")=0,10^9,LOOKUP(2,1/($M$3:M297="1"),ROW($M$3:M297))),IF(COUNTIF($M$3:M297,"2")=0,10^9,LOOKUP(2,1/($M$3:M297="2"),ROW($M$3:M297))),IF(COUNTIF($M$3:M297,"3")=0,10^9,LOOKUP(2,1/($M$3:M297="3"),ROW($M$3:M297))),IF(COUNTIF($M$3:M297,"4")=0,10^9,LOOKUP(2,1/($M$3:M297="4"),ROW($M$3:M297))),IF(COUNTIF($M$3:M297,"5")=0,10^9,LOOKUP(2,1/($M$3:M297="5"),ROW($M$3:M297))),IF(COUNTIF($M$3:M297,"6")=0,10^9,LOOKUP(2,1/($M$3:M297="6"),ROW($M$3:M297))),IF(COUNTIF($M$3:M297,"7")=0,10^9,LOOKUP(2,1/($M$3:M297="7"),ROW($M$3:M297))),IF(COUNTIF($M$3:M297,"8")=0,10^9,LOOKUP(2,1/($M$3:M297="8"),ROW($M$3:M297))),IF(COUNTIF($M$3:M297,"9")=0,10^9,LOOKUP(2,1/($M$3:M297="9"),ROW($M$3:M297))))-ROW($M$3)+1),"")),AND(N298&lt;&gt;"",N298=IFERROR(INDEX($N$3:N297,MIN(IF(COUNTIF($N$3:N297,"鼠")=0,10^9,LOOKUP(2,1/($N$3:N297="鼠"),ROW($N$3:N297))),IF(COUNTIF($N$3:N297,"牛")=0,10^9,LOOKUP(2,1/($N$3:N297="牛"),ROW($N$3:N297))),IF(COUNTIF($N$3:N297,"虎")=0,10^9,LOOKUP(2,1/($N$3:N297="虎"),ROW($N$3:N297))),IF(COUNTIF($N$3:N297,"兔")=0,10^9,LOOKUP(2,1/($N$3:N297="兔"),ROW($N$3:N297))),IF(COUNTIF($N$3:N297,"龙")=0,10^9,LOOKUP(2,1/($N$3:N297="龙"),ROW($N$3:N297))),IF(COUNTIF($N$3:N297,"蛇")=0,10^9,LOOKUP(2,1/($N$3:N297="蛇"),ROW($N$3:N297))),IF(COUNTIF($N$3:N297,"马")=0,10^9,LOOKUP(2,1/($N$3:N297="马"),ROW($N$3:N297))),IF(COUNTIF($N$3:N297,"羊")=0,10^9,LOOKUP(2,1/($N$3:N297="羊"),ROW($N$3:N297))),IF(COUNTIF($N$3:N297,"猴")=0,10^9,LOOKUP(2,1/($N$3:N297="猴"),ROW($N$3:N297))),IF(COUNTIF($N$3:N297,"鸡")=0,10^9,LOOKUP(2,1/($N$3:N297="鸡"),ROW($N$3:N297))),IF(COUNTIF($N$3:N297,"狗")=0,10^9,LOOKUP(2,1/($N$3:N297="狗"),ROW($N$3:N297))),IF(COUNTIF($N$3:N297,"猪")=0,10^9,LOOKUP(2,1/($N$3:N297="猪"),ROW($N$3:N297))))-ROW($N$3)+1),""))),0,IF(ISNUMBER(J297),J297+1,1)))</f>
        <v/>
      </c>
      <c r="K298" s="5" t="e">
        <f t="shared" si="30"/>
        <v>#N/A</v>
      </c>
      <c r="M298" s="6" t="str">
        <f t="shared" si="26"/>
        <v/>
      </c>
      <c r="N298" s="2" t="e">
        <f t="shared" si="27"/>
        <v>#N/A</v>
      </c>
      <c r="O298" s="7" t="str">
        <f>IF(M298="","",IF(COUNTIF(M299:$M$1000,M298)&gt;0,"",M298))</f>
        <v/>
      </c>
      <c r="P298" s="8" t="e">
        <f>IF(N298="","",IF(COUNTIF(N299:$N$1000,N298)&gt;0,"",N298))</f>
        <v>#N/A</v>
      </c>
      <c r="Q298" s="21" t="e">
        <f t="shared" si="28"/>
        <v>#NUM!</v>
      </c>
      <c r="R298" s="22" t="e">
        <f t="shared" si="29"/>
        <v>#NUM!</v>
      </c>
      <c r="S298" s="11"/>
      <c r="T298" s="11"/>
      <c r="U298" s="11"/>
      <c r="W298" s="11"/>
      <c r="X298" s="2"/>
      <c r="Y298" s="2"/>
    </row>
    <row r="299" s="1" customFormat="1" spans="1:25">
      <c r="A299" s="2">
        <v>115056934</v>
      </c>
      <c r="B299" s="2"/>
      <c r="C299" s="2"/>
      <c r="D299" s="2"/>
      <c r="E299" s="2"/>
      <c r="F299" s="2"/>
      <c r="G299" s="2"/>
      <c r="H299" s="3"/>
      <c r="I299" s="2" t="e">
        <f t="shared" si="25"/>
        <v>#N/A</v>
      </c>
      <c r="J299" s="4" t="str">
        <f>IF(H299="","",IF(OR(AND(M299&lt;&gt;"",M299=IFERROR(INDEX($M$3:M298,MIN(IF(COUNTIF($M$3:M298,"0")=0,10^9,LOOKUP(2,1/($M$3:M298="0"),ROW($M$3:M298))),IF(COUNTIF($M$3:M298,"1")=0,10^9,LOOKUP(2,1/($M$3:M298="1"),ROW($M$3:M298))),IF(COUNTIF($M$3:M298,"2")=0,10^9,LOOKUP(2,1/($M$3:M298="2"),ROW($M$3:M298))),IF(COUNTIF($M$3:M298,"3")=0,10^9,LOOKUP(2,1/($M$3:M298="3"),ROW($M$3:M298))),IF(COUNTIF($M$3:M298,"4")=0,10^9,LOOKUP(2,1/($M$3:M298="4"),ROW($M$3:M298))),IF(COUNTIF($M$3:M298,"5")=0,10^9,LOOKUP(2,1/($M$3:M298="5"),ROW($M$3:M298))),IF(COUNTIF($M$3:M298,"6")=0,10^9,LOOKUP(2,1/($M$3:M298="6"),ROW($M$3:M298))),IF(COUNTIF($M$3:M298,"7")=0,10^9,LOOKUP(2,1/($M$3:M298="7"),ROW($M$3:M298))),IF(COUNTIF($M$3:M298,"8")=0,10^9,LOOKUP(2,1/($M$3:M298="8"),ROW($M$3:M298))),IF(COUNTIF($M$3:M298,"9")=0,10^9,LOOKUP(2,1/($M$3:M298="9"),ROW($M$3:M298))))-ROW($M$3)+1),"")),AND(N299&lt;&gt;"",N299=IFERROR(INDEX($N$3:N298,MIN(IF(COUNTIF($N$3:N298,"鼠")=0,10^9,LOOKUP(2,1/($N$3:N298="鼠"),ROW($N$3:N298))),IF(COUNTIF($N$3:N298,"牛")=0,10^9,LOOKUP(2,1/($N$3:N298="牛"),ROW($N$3:N298))),IF(COUNTIF($N$3:N298,"虎")=0,10^9,LOOKUP(2,1/($N$3:N298="虎"),ROW($N$3:N298))),IF(COUNTIF($N$3:N298,"兔")=0,10^9,LOOKUP(2,1/($N$3:N298="兔"),ROW($N$3:N298))),IF(COUNTIF($N$3:N298,"龙")=0,10^9,LOOKUP(2,1/($N$3:N298="龙"),ROW($N$3:N298))),IF(COUNTIF($N$3:N298,"蛇")=0,10^9,LOOKUP(2,1/($N$3:N298="蛇"),ROW($N$3:N298))),IF(COUNTIF($N$3:N298,"马")=0,10^9,LOOKUP(2,1/($N$3:N298="马"),ROW($N$3:N298))),IF(COUNTIF($N$3:N298,"羊")=0,10^9,LOOKUP(2,1/($N$3:N298="羊"),ROW($N$3:N298))),IF(COUNTIF($N$3:N298,"猴")=0,10^9,LOOKUP(2,1/($N$3:N298="猴"),ROW($N$3:N298))),IF(COUNTIF($N$3:N298,"鸡")=0,10^9,LOOKUP(2,1/($N$3:N298="鸡"),ROW($N$3:N298))),IF(COUNTIF($N$3:N298,"狗")=0,10^9,LOOKUP(2,1/($N$3:N298="狗"),ROW($N$3:N298))),IF(COUNTIF($N$3:N298,"猪")=0,10^9,LOOKUP(2,1/($N$3:N298="猪"),ROW($N$3:N298))))-ROW($N$3)+1),""))),0,IF(ISNUMBER(J298),J298+1,1)))</f>
        <v/>
      </c>
      <c r="K299" s="5" t="e">
        <f t="shared" si="30"/>
        <v>#N/A</v>
      </c>
      <c r="M299" s="6" t="str">
        <f t="shared" si="26"/>
        <v/>
      </c>
      <c r="N299" s="2" t="e">
        <f t="shared" si="27"/>
        <v>#N/A</v>
      </c>
      <c r="O299" s="7" t="str">
        <f>IF(M299="","",IF(COUNTIF(M300:$M$1000,M299)&gt;0,"",M299))</f>
        <v/>
      </c>
      <c r="P299" s="8" t="e">
        <f>IF(N299="","",IF(COUNTIF(N300:$N$1000,N299)&gt;0,"",N299))</f>
        <v>#N/A</v>
      </c>
      <c r="Q299" s="21" t="e">
        <f t="shared" si="28"/>
        <v>#NUM!</v>
      </c>
      <c r="R299" s="22" t="e">
        <f t="shared" si="29"/>
        <v>#NUM!</v>
      </c>
      <c r="S299" s="11"/>
      <c r="T299" s="11"/>
      <c r="U299" s="11"/>
      <c r="W299" s="11"/>
      <c r="X299" s="2"/>
      <c r="Y299" s="2"/>
    </row>
    <row r="300" s="1" customFormat="1" spans="1:25">
      <c r="A300" s="2">
        <v>115056935</v>
      </c>
      <c r="B300" s="2"/>
      <c r="C300" s="2"/>
      <c r="D300" s="2"/>
      <c r="E300" s="2"/>
      <c r="F300" s="2"/>
      <c r="G300" s="2"/>
      <c r="H300" s="3"/>
      <c r="I300" s="2" t="e">
        <f t="shared" si="25"/>
        <v>#N/A</v>
      </c>
      <c r="J300" s="4" t="str">
        <f>IF(H300="","",IF(OR(AND(M300&lt;&gt;"",M300=IFERROR(INDEX($M$3:M299,MIN(IF(COUNTIF($M$3:M299,"0")=0,10^9,LOOKUP(2,1/($M$3:M299="0"),ROW($M$3:M299))),IF(COUNTIF($M$3:M299,"1")=0,10^9,LOOKUP(2,1/($M$3:M299="1"),ROW($M$3:M299))),IF(COUNTIF($M$3:M299,"2")=0,10^9,LOOKUP(2,1/($M$3:M299="2"),ROW($M$3:M299))),IF(COUNTIF($M$3:M299,"3")=0,10^9,LOOKUP(2,1/($M$3:M299="3"),ROW($M$3:M299))),IF(COUNTIF($M$3:M299,"4")=0,10^9,LOOKUP(2,1/($M$3:M299="4"),ROW($M$3:M299))),IF(COUNTIF($M$3:M299,"5")=0,10^9,LOOKUP(2,1/($M$3:M299="5"),ROW($M$3:M299))),IF(COUNTIF($M$3:M299,"6")=0,10^9,LOOKUP(2,1/($M$3:M299="6"),ROW($M$3:M299))),IF(COUNTIF($M$3:M299,"7")=0,10^9,LOOKUP(2,1/($M$3:M299="7"),ROW($M$3:M299))),IF(COUNTIF($M$3:M299,"8")=0,10^9,LOOKUP(2,1/($M$3:M299="8"),ROW($M$3:M299))),IF(COUNTIF($M$3:M299,"9")=0,10^9,LOOKUP(2,1/($M$3:M299="9"),ROW($M$3:M299))))-ROW($M$3)+1),"")),AND(N300&lt;&gt;"",N300=IFERROR(INDEX($N$3:N299,MIN(IF(COUNTIF($N$3:N299,"鼠")=0,10^9,LOOKUP(2,1/($N$3:N299="鼠"),ROW($N$3:N299))),IF(COUNTIF($N$3:N299,"牛")=0,10^9,LOOKUP(2,1/($N$3:N299="牛"),ROW($N$3:N299))),IF(COUNTIF($N$3:N299,"虎")=0,10^9,LOOKUP(2,1/($N$3:N299="虎"),ROW($N$3:N299))),IF(COUNTIF($N$3:N299,"兔")=0,10^9,LOOKUP(2,1/($N$3:N299="兔"),ROW($N$3:N299))),IF(COUNTIF($N$3:N299,"龙")=0,10^9,LOOKUP(2,1/($N$3:N299="龙"),ROW($N$3:N299))),IF(COUNTIF($N$3:N299,"蛇")=0,10^9,LOOKUP(2,1/($N$3:N299="蛇"),ROW($N$3:N299))),IF(COUNTIF($N$3:N299,"马")=0,10^9,LOOKUP(2,1/($N$3:N299="马"),ROW($N$3:N299))),IF(COUNTIF($N$3:N299,"羊")=0,10^9,LOOKUP(2,1/($N$3:N299="羊"),ROW($N$3:N299))),IF(COUNTIF($N$3:N299,"猴")=0,10^9,LOOKUP(2,1/($N$3:N299="猴"),ROW($N$3:N299))),IF(COUNTIF($N$3:N299,"鸡")=0,10^9,LOOKUP(2,1/($N$3:N299="鸡"),ROW($N$3:N299))),IF(COUNTIF($N$3:N299,"狗")=0,10^9,LOOKUP(2,1/($N$3:N299="狗"),ROW($N$3:N299))),IF(COUNTIF($N$3:N299,"猪")=0,10^9,LOOKUP(2,1/($N$3:N299="猪"),ROW($N$3:N299))))-ROW($N$3)+1),""))),0,IF(ISNUMBER(J299),J299+1,1)))</f>
        <v/>
      </c>
      <c r="K300" s="5" t="e">
        <f t="shared" si="30"/>
        <v>#N/A</v>
      </c>
      <c r="M300" s="6" t="str">
        <f t="shared" si="26"/>
        <v/>
      </c>
      <c r="N300" s="2" t="e">
        <f t="shared" si="27"/>
        <v>#N/A</v>
      </c>
      <c r="O300" s="7" t="str">
        <f>IF(M300="","",IF(COUNTIF(M301:$M$1000,M300)&gt;0,"",M300))</f>
        <v/>
      </c>
      <c r="P300" s="8" t="e">
        <f>IF(N300="","",IF(COUNTIF(N301:$N$1000,N300)&gt;0,"",N300))</f>
        <v>#N/A</v>
      </c>
      <c r="Q300" s="21" t="e">
        <f t="shared" si="28"/>
        <v>#NUM!</v>
      </c>
      <c r="R300" s="22" t="e">
        <f t="shared" si="29"/>
        <v>#NUM!</v>
      </c>
      <c r="S300" s="11"/>
      <c r="T300" s="11"/>
      <c r="U300" s="11"/>
      <c r="W300" s="11"/>
      <c r="X300" s="2"/>
      <c r="Y300" s="2"/>
    </row>
    <row r="301" s="1" customFormat="1" spans="1:25">
      <c r="A301" s="2">
        <v>115056936</v>
      </c>
      <c r="B301" s="2"/>
      <c r="C301" s="2"/>
      <c r="D301" s="2"/>
      <c r="E301" s="2"/>
      <c r="F301" s="2"/>
      <c r="G301" s="2"/>
      <c r="H301" s="3"/>
      <c r="I301" s="2" t="e">
        <f t="shared" si="25"/>
        <v>#N/A</v>
      </c>
      <c r="J301" s="4" t="str">
        <f>IF(H301="","",IF(OR(AND(M301&lt;&gt;"",M301=IFERROR(INDEX($M$3:M300,MIN(IF(COUNTIF($M$3:M300,"0")=0,10^9,LOOKUP(2,1/($M$3:M300="0"),ROW($M$3:M300))),IF(COUNTIF($M$3:M300,"1")=0,10^9,LOOKUP(2,1/($M$3:M300="1"),ROW($M$3:M300))),IF(COUNTIF($M$3:M300,"2")=0,10^9,LOOKUP(2,1/($M$3:M300="2"),ROW($M$3:M300))),IF(COUNTIF($M$3:M300,"3")=0,10^9,LOOKUP(2,1/($M$3:M300="3"),ROW($M$3:M300))),IF(COUNTIF($M$3:M300,"4")=0,10^9,LOOKUP(2,1/($M$3:M300="4"),ROW($M$3:M300))),IF(COUNTIF($M$3:M300,"5")=0,10^9,LOOKUP(2,1/($M$3:M300="5"),ROW($M$3:M300))),IF(COUNTIF($M$3:M300,"6")=0,10^9,LOOKUP(2,1/($M$3:M300="6"),ROW($M$3:M300))),IF(COUNTIF($M$3:M300,"7")=0,10^9,LOOKUP(2,1/($M$3:M300="7"),ROW($M$3:M300))),IF(COUNTIF($M$3:M300,"8")=0,10^9,LOOKUP(2,1/($M$3:M300="8"),ROW($M$3:M300))),IF(COUNTIF($M$3:M300,"9")=0,10^9,LOOKUP(2,1/($M$3:M300="9"),ROW($M$3:M300))))-ROW($M$3)+1),"")),AND(N301&lt;&gt;"",N301=IFERROR(INDEX($N$3:N300,MIN(IF(COUNTIF($N$3:N300,"鼠")=0,10^9,LOOKUP(2,1/($N$3:N300="鼠"),ROW($N$3:N300))),IF(COUNTIF($N$3:N300,"牛")=0,10^9,LOOKUP(2,1/($N$3:N300="牛"),ROW($N$3:N300))),IF(COUNTIF($N$3:N300,"虎")=0,10^9,LOOKUP(2,1/($N$3:N300="虎"),ROW($N$3:N300))),IF(COUNTIF($N$3:N300,"兔")=0,10^9,LOOKUP(2,1/($N$3:N300="兔"),ROW($N$3:N300))),IF(COUNTIF($N$3:N300,"龙")=0,10^9,LOOKUP(2,1/($N$3:N300="龙"),ROW($N$3:N300))),IF(COUNTIF($N$3:N300,"蛇")=0,10^9,LOOKUP(2,1/($N$3:N300="蛇"),ROW($N$3:N300))),IF(COUNTIF($N$3:N300,"马")=0,10^9,LOOKUP(2,1/($N$3:N300="马"),ROW($N$3:N300))),IF(COUNTIF($N$3:N300,"羊")=0,10^9,LOOKUP(2,1/($N$3:N300="羊"),ROW($N$3:N300))),IF(COUNTIF($N$3:N300,"猴")=0,10^9,LOOKUP(2,1/($N$3:N300="猴"),ROW($N$3:N300))),IF(COUNTIF($N$3:N300,"鸡")=0,10^9,LOOKUP(2,1/($N$3:N300="鸡"),ROW($N$3:N300))),IF(COUNTIF($N$3:N300,"狗")=0,10^9,LOOKUP(2,1/($N$3:N300="狗"),ROW($N$3:N300))),IF(COUNTIF($N$3:N300,"猪")=0,10^9,LOOKUP(2,1/($N$3:N300="猪"),ROW($N$3:N300))))-ROW($N$3)+1),""))),0,IF(ISNUMBER(J300),J300+1,1)))</f>
        <v/>
      </c>
      <c r="K301" s="5" t="e">
        <f t="shared" si="30"/>
        <v>#N/A</v>
      </c>
      <c r="M301" s="6" t="str">
        <f t="shared" si="26"/>
        <v/>
      </c>
      <c r="N301" s="2" t="e">
        <f t="shared" si="27"/>
        <v>#N/A</v>
      </c>
      <c r="O301" s="7" t="str">
        <f>IF(M301="","",IF(COUNTIF(M302:$M$1000,M301)&gt;0,"",M301))</f>
        <v/>
      </c>
      <c r="P301" s="8" t="e">
        <f>IF(N301="","",IF(COUNTIF(N302:$N$1000,N301)&gt;0,"",N301))</f>
        <v>#N/A</v>
      </c>
      <c r="Q301" s="21" t="e">
        <f t="shared" si="28"/>
        <v>#NUM!</v>
      </c>
      <c r="R301" s="22" t="e">
        <f t="shared" si="29"/>
        <v>#NUM!</v>
      </c>
      <c r="S301" s="11"/>
      <c r="T301" s="11"/>
      <c r="U301" s="11"/>
      <c r="W301" s="11"/>
      <c r="X301" s="2"/>
      <c r="Y301" s="2"/>
    </row>
    <row r="302" s="1" customFormat="1" spans="1:25">
      <c r="A302" s="2">
        <v>115056937</v>
      </c>
      <c r="B302" s="2"/>
      <c r="C302" s="2"/>
      <c r="D302" s="2"/>
      <c r="E302" s="2"/>
      <c r="F302" s="2"/>
      <c r="G302" s="2"/>
      <c r="H302" s="3"/>
      <c r="I302" s="2" t="e">
        <f t="shared" si="25"/>
        <v>#N/A</v>
      </c>
      <c r="J302" s="4" t="str">
        <f>IF(H302="","",IF(OR(AND(M302&lt;&gt;"",M302=IFERROR(INDEX($M$3:M301,MIN(IF(COUNTIF($M$3:M301,"0")=0,10^9,LOOKUP(2,1/($M$3:M301="0"),ROW($M$3:M301))),IF(COUNTIF($M$3:M301,"1")=0,10^9,LOOKUP(2,1/($M$3:M301="1"),ROW($M$3:M301))),IF(COUNTIF($M$3:M301,"2")=0,10^9,LOOKUP(2,1/($M$3:M301="2"),ROW($M$3:M301))),IF(COUNTIF($M$3:M301,"3")=0,10^9,LOOKUP(2,1/($M$3:M301="3"),ROW($M$3:M301))),IF(COUNTIF($M$3:M301,"4")=0,10^9,LOOKUP(2,1/($M$3:M301="4"),ROW($M$3:M301))),IF(COUNTIF($M$3:M301,"5")=0,10^9,LOOKUP(2,1/($M$3:M301="5"),ROW($M$3:M301))),IF(COUNTIF($M$3:M301,"6")=0,10^9,LOOKUP(2,1/($M$3:M301="6"),ROW($M$3:M301))),IF(COUNTIF($M$3:M301,"7")=0,10^9,LOOKUP(2,1/($M$3:M301="7"),ROW($M$3:M301))),IF(COUNTIF($M$3:M301,"8")=0,10^9,LOOKUP(2,1/($M$3:M301="8"),ROW($M$3:M301))),IF(COUNTIF($M$3:M301,"9")=0,10^9,LOOKUP(2,1/($M$3:M301="9"),ROW($M$3:M301))))-ROW($M$3)+1),"")),AND(N302&lt;&gt;"",N302=IFERROR(INDEX($N$3:N301,MIN(IF(COUNTIF($N$3:N301,"鼠")=0,10^9,LOOKUP(2,1/($N$3:N301="鼠"),ROW($N$3:N301))),IF(COUNTIF($N$3:N301,"牛")=0,10^9,LOOKUP(2,1/($N$3:N301="牛"),ROW($N$3:N301))),IF(COUNTIF($N$3:N301,"虎")=0,10^9,LOOKUP(2,1/($N$3:N301="虎"),ROW($N$3:N301))),IF(COUNTIF($N$3:N301,"兔")=0,10^9,LOOKUP(2,1/($N$3:N301="兔"),ROW($N$3:N301))),IF(COUNTIF($N$3:N301,"龙")=0,10^9,LOOKUP(2,1/($N$3:N301="龙"),ROW($N$3:N301))),IF(COUNTIF($N$3:N301,"蛇")=0,10^9,LOOKUP(2,1/($N$3:N301="蛇"),ROW($N$3:N301))),IF(COUNTIF($N$3:N301,"马")=0,10^9,LOOKUP(2,1/($N$3:N301="马"),ROW($N$3:N301))),IF(COUNTIF($N$3:N301,"羊")=0,10^9,LOOKUP(2,1/($N$3:N301="羊"),ROW($N$3:N301))),IF(COUNTIF($N$3:N301,"猴")=0,10^9,LOOKUP(2,1/($N$3:N301="猴"),ROW($N$3:N301))),IF(COUNTIF($N$3:N301,"鸡")=0,10^9,LOOKUP(2,1/($N$3:N301="鸡"),ROW($N$3:N301))),IF(COUNTIF($N$3:N301,"狗")=0,10^9,LOOKUP(2,1/($N$3:N301="狗"),ROW($N$3:N301))),IF(COUNTIF($N$3:N301,"猪")=0,10^9,LOOKUP(2,1/($N$3:N301="猪"),ROW($N$3:N301))))-ROW($N$3)+1),""))),0,IF(ISNUMBER(J301),J301+1,1)))</f>
        <v/>
      </c>
      <c r="K302" s="5" t="e">
        <f t="shared" si="30"/>
        <v>#N/A</v>
      </c>
      <c r="M302" s="6" t="str">
        <f t="shared" si="26"/>
        <v/>
      </c>
      <c r="N302" s="2" t="e">
        <f t="shared" si="27"/>
        <v>#N/A</v>
      </c>
      <c r="O302" s="7" t="str">
        <f>IF(M302="","",IF(COUNTIF(M303:$M$1000,M302)&gt;0,"",M302))</f>
        <v/>
      </c>
      <c r="P302" s="8" t="e">
        <f>IF(N302="","",IF(COUNTIF(N303:$N$1000,N302)&gt;0,"",N302))</f>
        <v>#N/A</v>
      </c>
      <c r="Q302" s="21" t="e">
        <f t="shared" si="28"/>
        <v>#NUM!</v>
      </c>
      <c r="R302" s="22" t="e">
        <f t="shared" si="29"/>
        <v>#NUM!</v>
      </c>
      <c r="S302" s="11"/>
      <c r="T302" s="11"/>
      <c r="U302" s="11"/>
      <c r="W302" s="11"/>
      <c r="X302" s="2"/>
      <c r="Y302" s="2"/>
    </row>
    <row r="303" s="1" customFormat="1" spans="1:25">
      <c r="A303" s="2">
        <v>115056938</v>
      </c>
      <c r="B303" s="2"/>
      <c r="C303" s="2"/>
      <c r="D303" s="2"/>
      <c r="E303" s="2"/>
      <c r="F303" s="2"/>
      <c r="G303" s="2"/>
      <c r="H303" s="3"/>
      <c r="I303" s="2" t="e">
        <f t="shared" si="25"/>
        <v>#N/A</v>
      </c>
      <c r="J303" s="4" t="str">
        <f>IF(H303="","",IF(OR(AND(M303&lt;&gt;"",M303=IFERROR(INDEX($M$3:M302,MIN(IF(COUNTIF($M$3:M302,"0")=0,10^9,LOOKUP(2,1/($M$3:M302="0"),ROW($M$3:M302))),IF(COUNTIF($M$3:M302,"1")=0,10^9,LOOKUP(2,1/($M$3:M302="1"),ROW($M$3:M302))),IF(COUNTIF($M$3:M302,"2")=0,10^9,LOOKUP(2,1/($M$3:M302="2"),ROW($M$3:M302))),IF(COUNTIF($M$3:M302,"3")=0,10^9,LOOKUP(2,1/($M$3:M302="3"),ROW($M$3:M302))),IF(COUNTIF($M$3:M302,"4")=0,10^9,LOOKUP(2,1/($M$3:M302="4"),ROW($M$3:M302))),IF(COUNTIF($M$3:M302,"5")=0,10^9,LOOKUP(2,1/($M$3:M302="5"),ROW($M$3:M302))),IF(COUNTIF($M$3:M302,"6")=0,10^9,LOOKUP(2,1/($M$3:M302="6"),ROW($M$3:M302))),IF(COUNTIF($M$3:M302,"7")=0,10^9,LOOKUP(2,1/($M$3:M302="7"),ROW($M$3:M302))),IF(COUNTIF($M$3:M302,"8")=0,10^9,LOOKUP(2,1/($M$3:M302="8"),ROW($M$3:M302))),IF(COUNTIF($M$3:M302,"9")=0,10^9,LOOKUP(2,1/($M$3:M302="9"),ROW($M$3:M302))))-ROW($M$3)+1),"")),AND(N303&lt;&gt;"",N303=IFERROR(INDEX($N$3:N302,MIN(IF(COUNTIF($N$3:N302,"鼠")=0,10^9,LOOKUP(2,1/($N$3:N302="鼠"),ROW($N$3:N302))),IF(COUNTIF($N$3:N302,"牛")=0,10^9,LOOKUP(2,1/($N$3:N302="牛"),ROW($N$3:N302))),IF(COUNTIF($N$3:N302,"虎")=0,10^9,LOOKUP(2,1/($N$3:N302="虎"),ROW($N$3:N302))),IF(COUNTIF($N$3:N302,"兔")=0,10^9,LOOKUP(2,1/($N$3:N302="兔"),ROW($N$3:N302))),IF(COUNTIF($N$3:N302,"龙")=0,10^9,LOOKUP(2,1/($N$3:N302="龙"),ROW($N$3:N302))),IF(COUNTIF($N$3:N302,"蛇")=0,10^9,LOOKUP(2,1/($N$3:N302="蛇"),ROW($N$3:N302))),IF(COUNTIF($N$3:N302,"马")=0,10^9,LOOKUP(2,1/($N$3:N302="马"),ROW($N$3:N302))),IF(COUNTIF($N$3:N302,"羊")=0,10^9,LOOKUP(2,1/($N$3:N302="羊"),ROW($N$3:N302))),IF(COUNTIF($N$3:N302,"猴")=0,10^9,LOOKUP(2,1/($N$3:N302="猴"),ROW($N$3:N302))),IF(COUNTIF($N$3:N302,"鸡")=0,10^9,LOOKUP(2,1/($N$3:N302="鸡"),ROW($N$3:N302))),IF(COUNTIF($N$3:N302,"狗")=0,10^9,LOOKUP(2,1/($N$3:N302="狗"),ROW($N$3:N302))),IF(COUNTIF($N$3:N302,"猪")=0,10^9,LOOKUP(2,1/($N$3:N302="猪"),ROW($N$3:N302))))-ROW($N$3)+1),""))),0,IF(ISNUMBER(J302),J302+1,1)))</f>
        <v/>
      </c>
      <c r="K303" s="5" t="e">
        <f t="shared" si="30"/>
        <v>#N/A</v>
      </c>
      <c r="M303" s="6" t="str">
        <f t="shared" si="26"/>
        <v/>
      </c>
      <c r="N303" s="2" t="e">
        <f t="shared" si="27"/>
        <v>#N/A</v>
      </c>
      <c r="O303" s="7" t="str">
        <f>IF(M303="","",IF(COUNTIF(M304:$M$1000,M303)&gt;0,"",M303))</f>
        <v/>
      </c>
      <c r="P303" s="8" t="e">
        <f>IF(N303="","",IF(COUNTIF(N304:$N$1000,N303)&gt;0,"",N303))</f>
        <v>#N/A</v>
      </c>
      <c r="Q303" s="21" t="e">
        <f t="shared" si="28"/>
        <v>#NUM!</v>
      </c>
      <c r="R303" s="22" t="e">
        <f t="shared" si="29"/>
        <v>#NUM!</v>
      </c>
      <c r="S303" s="11"/>
      <c r="T303" s="11"/>
      <c r="U303" s="11"/>
      <c r="W303" s="11"/>
      <c r="X303" s="2"/>
      <c r="Y303" s="2"/>
    </row>
    <row r="304" s="1" customFormat="1" spans="1:25">
      <c r="A304" s="2">
        <v>115056939</v>
      </c>
      <c r="B304" s="2"/>
      <c r="C304" s="2"/>
      <c r="D304" s="2"/>
      <c r="E304" s="2"/>
      <c r="F304" s="2"/>
      <c r="G304" s="2"/>
      <c r="H304" s="3"/>
      <c r="I304" s="2" t="e">
        <f t="shared" si="25"/>
        <v>#N/A</v>
      </c>
      <c r="J304" s="4" t="str">
        <f>IF(H304="","",IF(OR(AND(M304&lt;&gt;"",M304=IFERROR(INDEX($M$3:M303,MIN(IF(COUNTIF($M$3:M303,"0")=0,10^9,LOOKUP(2,1/($M$3:M303="0"),ROW($M$3:M303))),IF(COUNTIF($M$3:M303,"1")=0,10^9,LOOKUP(2,1/($M$3:M303="1"),ROW($M$3:M303))),IF(COUNTIF($M$3:M303,"2")=0,10^9,LOOKUP(2,1/($M$3:M303="2"),ROW($M$3:M303))),IF(COUNTIF($M$3:M303,"3")=0,10^9,LOOKUP(2,1/($M$3:M303="3"),ROW($M$3:M303))),IF(COUNTIF($M$3:M303,"4")=0,10^9,LOOKUP(2,1/($M$3:M303="4"),ROW($M$3:M303))),IF(COUNTIF($M$3:M303,"5")=0,10^9,LOOKUP(2,1/($M$3:M303="5"),ROW($M$3:M303))),IF(COUNTIF($M$3:M303,"6")=0,10^9,LOOKUP(2,1/($M$3:M303="6"),ROW($M$3:M303))),IF(COUNTIF($M$3:M303,"7")=0,10^9,LOOKUP(2,1/($M$3:M303="7"),ROW($M$3:M303))),IF(COUNTIF($M$3:M303,"8")=0,10^9,LOOKUP(2,1/($M$3:M303="8"),ROW($M$3:M303))),IF(COUNTIF($M$3:M303,"9")=0,10^9,LOOKUP(2,1/($M$3:M303="9"),ROW($M$3:M303))))-ROW($M$3)+1),"")),AND(N304&lt;&gt;"",N304=IFERROR(INDEX($N$3:N303,MIN(IF(COUNTIF($N$3:N303,"鼠")=0,10^9,LOOKUP(2,1/($N$3:N303="鼠"),ROW($N$3:N303))),IF(COUNTIF($N$3:N303,"牛")=0,10^9,LOOKUP(2,1/($N$3:N303="牛"),ROW($N$3:N303))),IF(COUNTIF($N$3:N303,"虎")=0,10^9,LOOKUP(2,1/($N$3:N303="虎"),ROW($N$3:N303))),IF(COUNTIF($N$3:N303,"兔")=0,10^9,LOOKUP(2,1/($N$3:N303="兔"),ROW($N$3:N303))),IF(COUNTIF($N$3:N303,"龙")=0,10^9,LOOKUP(2,1/($N$3:N303="龙"),ROW($N$3:N303))),IF(COUNTIF($N$3:N303,"蛇")=0,10^9,LOOKUP(2,1/($N$3:N303="蛇"),ROW($N$3:N303))),IF(COUNTIF($N$3:N303,"马")=0,10^9,LOOKUP(2,1/($N$3:N303="马"),ROW($N$3:N303))),IF(COUNTIF($N$3:N303,"羊")=0,10^9,LOOKUP(2,1/($N$3:N303="羊"),ROW($N$3:N303))),IF(COUNTIF($N$3:N303,"猴")=0,10^9,LOOKUP(2,1/($N$3:N303="猴"),ROW($N$3:N303))),IF(COUNTIF($N$3:N303,"鸡")=0,10^9,LOOKUP(2,1/($N$3:N303="鸡"),ROW($N$3:N303))),IF(COUNTIF($N$3:N303,"狗")=0,10^9,LOOKUP(2,1/($N$3:N303="狗"),ROW($N$3:N303))),IF(COUNTIF($N$3:N303,"猪")=0,10^9,LOOKUP(2,1/($N$3:N303="猪"),ROW($N$3:N303))))-ROW($N$3)+1),""))),0,IF(ISNUMBER(J303),J303+1,1)))</f>
        <v/>
      </c>
      <c r="K304" s="5" t="e">
        <f t="shared" si="30"/>
        <v>#N/A</v>
      </c>
      <c r="M304" s="6" t="str">
        <f t="shared" si="26"/>
        <v/>
      </c>
      <c r="N304" s="2" t="e">
        <f t="shared" si="27"/>
        <v>#N/A</v>
      </c>
      <c r="O304" s="7" t="str">
        <f>IF(M304="","",IF(COUNTIF(M305:$M$1000,M304)&gt;0,"",M304))</f>
        <v/>
      </c>
      <c r="P304" s="8" t="e">
        <f>IF(N304="","",IF(COUNTIF(N305:$N$1000,N304)&gt;0,"",N304))</f>
        <v>#N/A</v>
      </c>
      <c r="Q304" s="21" t="e">
        <f t="shared" si="28"/>
        <v>#NUM!</v>
      </c>
      <c r="R304" s="22" t="e">
        <f t="shared" si="29"/>
        <v>#NUM!</v>
      </c>
      <c r="S304" s="11"/>
      <c r="T304" s="11"/>
      <c r="U304" s="11"/>
      <c r="W304" s="11"/>
      <c r="X304" s="2"/>
      <c r="Y304" s="2"/>
    </row>
    <row r="305" s="1" customFormat="1" spans="1:25">
      <c r="A305" s="2">
        <v>115056940</v>
      </c>
      <c r="B305" s="2"/>
      <c r="C305" s="2"/>
      <c r="D305" s="2"/>
      <c r="E305" s="2"/>
      <c r="F305" s="2"/>
      <c r="G305" s="2"/>
      <c r="H305" s="3"/>
      <c r="I305" s="2" t="e">
        <f t="shared" si="25"/>
        <v>#N/A</v>
      </c>
      <c r="J305" s="4" t="str">
        <f>IF(H305="","",IF(OR(AND(M305&lt;&gt;"",M305=IFERROR(INDEX($M$3:M304,MIN(IF(COUNTIF($M$3:M304,"0")=0,10^9,LOOKUP(2,1/($M$3:M304="0"),ROW($M$3:M304))),IF(COUNTIF($M$3:M304,"1")=0,10^9,LOOKUP(2,1/($M$3:M304="1"),ROW($M$3:M304))),IF(COUNTIF($M$3:M304,"2")=0,10^9,LOOKUP(2,1/($M$3:M304="2"),ROW($M$3:M304))),IF(COUNTIF($M$3:M304,"3")=0,10^9,LOOKUP(2,1/($M$3:M304="3"),ROW($M$3:M304))),IF(COUNTIF($M$3:M304,"4")=0,10^9,LOOKUP(2,1/($M$3:M304="4"),ROW($M$3:M304))),IF(COUNTIF($M$3:M304,"5")=0,10^9,LOOKUP(2,1/($M$3:M304="5"),ROW($M$3:M304))),IF(COUNTIF($M$3:M304,"6")=0,10^9,LOOKUP(2,1/($M$3:M304="6"),ROW($M$3:M304))),IF(COUNTIF($M$3:M304,"7")=0,10^9,LOOKUP(2,1/($M$3:M304="7"),ROW($M$3:M304))),IF(COUNTIF($M$3:M304,"8")=0,10^9,LOOKUP(2,1/($M$3:M304="8"),ROW($M$3:M304))),IF(COUNTIF($M$3:M304,"9")=0,10^9,LOOKUP(2,1/($M$3:M304="9"),ROW($M$3:M304))))-ROW($M$3)+1),"")),AND(N305&lt;&gt;"",N305=IFERROR(INDEX($N$3:N304,MIN(IF(COUNTIF($N$3:N304,"鼠")=0,10^9,LOOKUP(2,1/($N$3:N304="鼠"),ROW($N$3:N304))),IF(COUNTIF($N$3:N304,"牛")=0,10^9,LOOKUP(2,1/($N$3:N304="牛"),ROW($N$3:N304))),IF(COUNTIF($N$3:N304,"虎")=0,10^9,LOOKUP(2,1/($N$3:N304="虎"),ROW($N$3:N304))),IF(COUNTIF($N$3:N304,"兔")=0,10^9,LOOKUP(2,1/($N$3:N304="兔"),ROW($N$3:N304))),IF(COUNTIF($N$3:N304,"龙")=0,10^9,LOOKUP(2,1/($N$3:N304="龙"),ROW($N$3:N304))),IF(COUNTIF($N$3:N304,"蛇")=0,10^9,LOOKUP(2,1/($N$3:N304="蛇"),ROW($N$3:N304))),IF(COUNTIF($N$3:N304,"马")=0,10^9,LOOKUP(2,1/($N$3:N304="马"),ROW($N$3:N304))),IF(COUNTIF($N$3:N304,"羊")=0,10^9,LOOKUP(2,1/($N$3:N304="羊"),ROW($N$3:N304))),IF(COUNTIF($N$3:N304,"猴")=0,10^9,LOOKUP(2,1/($N$3:N304="猴"),ROW($N$3:N304))),IF(COUNTIF($N$3:N304,"鸡")=0,10^9,LOOKUP(2,1/($N$3:N304="鸡"),ROW($N$3:N304))),IF(COUNTIF($N$3:N304,"狗")=0,10^9,LOOKUP(2,1/($N$3:N304="狗"),ROW($N$3:N304))),IF(COUNTIF($N$3:N304,"猪")=0,10^9,LOOKUP(2,1/($N$3:N304="猪"),ROW($N$3:N304))))-ROW($N$3)+1),""))),0,IF(ISNUMBER(J304),J304+1,1)))</f>
        <v/>
      </c>
      <c r="K305" s="5" t="e">
        <f t="shared" si="30"/>
        <v>#N/A</v>
      </c>
      <c r="M305" s="6" t="str">
        <f t="shared" si="26"/>
        <v/>
      </c>
      <c r="N305" s="2" t="e">
        <f t="shared" si="27"/>
        <v>#N/A</v>
      </c>
      <c r="O305" s="7" t="str">
        <f>IF(M305="","",IF(COUNTIF(M306:$M$1000,M305)&gt;0,"",M305))</f>
        <v/>
      </c>
      <c r="P305" s="8" t="e">
        <f>IF(N305="","",IF(COUNTIF(N306:$N$1000,N305)&gt;0,"",N305))</f>
        <v>#N/A</v>
      </c>
      <c r="Q305" s="21" t="e">
        <f t="shared" si="28"/>
        <v>#NUM!</v>
      </c>
      <c r="R305" s="22" t="e">
        <f t="shared" si="29"/>
        <v>#NUM!</v>
      </c>
      <c r="S305" s="11"/>
      <c r="T305" s="11"/>
      <c r="U305" s="11"/>
      <c r="W305" s="11"/>
      <c r="X305" s="2"/>
      <c r="Y305" s="2"/>
    </row>
    <row r="306" s="1" customFormat="1" spans="1:25">
      <c r="A306" s="2">
        <v>115056941</v>
      </c>
      <c r="B306" s="2"/>
      <c r="C306" s="2"/>
      <c r="D306" s="2"/>
      <c r="E306" s="2"/>
      <c r="F306" s="2"/>
      <c r="G306" s="2"/>
      <c r="H306" s="3"/>
      <c r="I306" s="2" t="e">
        <f t="shared" si="25"/>
        <v>#N/A</v>
      </c>
      <c r="J306" s="4" t="str">
        <f>IF(H306="","",IF(OR(AND(M306&lt;&gt;"",M306=IFERROR(INDEX($M$3:M305,MIN(IF(COUNTIF($M$3:M305,"0")=0,10^9,LOOKUP(2,1/($M$3:M305="0"),ROW($M$3:M305))),IF(COUNTIF($M$3:M305,"1")=0,10^9,LOOKUP(2,1/($M$3:M305="1"),ROW($M$3:M305))),IF(COUNTIF($M$3:M305,"2")=0,10^9,LOOKUP(2,1/($M$3:M305="2"),ROW($M$3:M305))),IF(COUNTIF($M$3:M305,"3")=0,10^9,LOOKUP(2,1/($M$3:M305="3"),ROW($M$3:M305))),IF(COUNTIF($M$3:M305,"4")=0,10^9,LOOKUP(2,1/($M$3:M305="4"),ROW($M$3:M305))),IF(COUNTIF($M$3:M305,"5")=0,10^9,LOOKUP(2,1/($M$3:M305="5"),ROW($M$3:M305))),IF(COUNTIF($M$3:M305,"6")=0,10^9,LOOKUP(2,1/($M$3:M305="6"),ROW($M$3:M305))),IF(COUNTIF($M$3:M305,"7")=0,10^9,LOOKUP(2,1/($M$3:M305="7"),ROW($M$3:M305))),IF(COUNTIF($M$3:M305,"8")=0,10^9,LOOKUP(2,1/($M$3:M305="8"),ROW($M$3:M305))),IF(COUNTIF($M$3:M305,"9")=0,10^9,LOOKUP(2,1/($M$3:M305="9"),ROW($M$3:M305))))-ROW($M$3)+1),"")),AND(N306&lt;&gt;"",N306=IFERROR(INDEX($N$3:N305,MIN(IF(COUNTIF($N$3:N305,"鼠")=0,10^9,LOOKUP(2,1/($N$3:N305="鼠"),ROW($N$3:N305))),IF(COUNTIF($N$3:N305,"牛")=0,10^9,LOOKUP(2,1/($N$3:N305="牛"),ROW($N$3:N305))),IF(COUNTIF($N$3:N305,"虎")=0,10^9,LOOKUP(2,1/($N$3:N305="虎"),ROW($N$3:N305))),IF(COUNTIF($N$3:N305,"兔")=0,10^9,LOOKUP(2,1/($N$3:N305="兔"),ROW($N$3:N305))),IF(COUNTIF($N$3:N305,"龙")=0,10^9,LOOKUP(2,1/($N$3:N305="龙"),ROW($N$3:N305))),IF(COUNTIF($N$3:N305,"蛇")=0,10^9,LOOKUP(2,1/($N$3:N305="蛇"),ROW($N$3:N305))),IF(COUNTIF($N$3:N305,"马")=0,10^9,LOOKUP(2,1/($N$3:N305="马"),ROW($N$3:N305))),IF(COUNTIF($N$3:N305,"羊")=0,10^9,LOOKUP(2,1/($N$3:N305="羊"),ROW($N$3:N305))),IF(COUNTIF($N$3:N305,"猴")=0,10^9,LOOKUP(2,1/($N$3:N305="猴"),ROW($N$3:N305))),IF(COUNTIF($N$3:N305,"鸡")=0,10^9,LOOKUP(2,1/($N$3:N305="鸡"),ROW($N$3:N305))),IF(COUNTIF($N$3:N305,"狗")=0,10^9,LOOKUP(2,1/($N$3:N305="狗"),ROW($N$3:N305))),IF(COUNTIF($N$3:N305,"猪")=0,10^9,LOOKUP(2,1/($N$3:N305="猪"),ROW($N$3:N305))))-ROW($N$3)+1),""))),0,IF(ISNUMBER(J305),J305+1,1)))</f>
        <v/>
      </c>
      <c r="K306" s="5" t="e">
        <f t="shared" si="30"/>
        <v>#N/A</v>
      </c>
      <c r="M306" s="6" t="str">
        <f t="shared" si="26"/>
        <v/>
      </c>
      <c r="N306" s="2" t="e">
        <f t="shared" si="27"/>
        <v>#N/A</v>
      </c>
      <c r="O306" s="7" t="str">
        <f>IF(M306="","",IF(COUNTIF(M307:$M$1000,M306)&gt;0,"",M306))</f>
        <v/>
      </c>
      <c r="P306" s="8" t="e">
        <f>IF(N306="","",IF(COUNTIF(N307:$N$1000,N306)&gt;0,"",N306))</f>
        <v>#N/A</v>
      </c>
      <c r="Q306" s="21" t="e">
        <f t="shared" si="28"/>
        <v>#NUM!</v>
      </c>
      <c r="R306" s="22" t="e">
        <f t="shared" si="29"/>
        <v>#NUM!</v>
      </c>
      <c r="S306" s="11"/>
      <c r="T306" s="11"/>
      <c r="U306" s="11"/>
      <c r="W306" s="11"/>
      <c r="X306" s="2"/>
      <c r="Y306" s="2"/>
    </row>
    <row r="307" s="1" customFormat="1" spans="1:25">
      <c r="A307" s="2">
        <v>115056942</v>
      </c>
      <c r="B307" s="2"/>
      <c r="C307" s="2"/>
      <c r="D307" s="2"/>
      <c r="E307" s="2"/>
      <c r="F307" s="2"/>
      <c r="G307" s="2"/>
      <c r="H307" s="3"/>
      <c r="I307" s="2" t="e">
        <f t="shared" si="25"/>
        <v>#N/A</v>
      </c>
      <c r="J307" s="4" t="str">
        <f>IF(H307="","",IF(OR(AND(M307&lt;&gt;"",M307=IFERROR(INDEX($M$3:M306,MIN(IF(COUNTIF($M$3:M306,"0")=0,10^9,LOOKUP(2,1/($M$3:M306="0"),ROW($M$3:M306))),IF(COUNTIF($M$3:M306,"1")=0,10^9,LOOKUP(2,1/($M$3:M306="1"),ROW($M$3:M306))),IF(COUNTIF($M$3:M306,"2")=0,10^9,LOOKUP(2,1/($M$3:M306="2"),ROW($M$3:M306))),IF(COUNTIF($M$3:M306,"3")=0,10^9,LOOKUP(2,1/($M$3:M306="3"),ROW($M$3:M306))),IF(COUNTIF($M$3:M306,"4")=0,10^9,LOOKUP(2,1/($M$3:M306="4"),ROW($M$3:M306))),IF(COUNTIF($M$3:M306,"5")=0,10^9,LOOKUP(2,1/($M$3:M306="5"),ROW($M$3:M306))),IF(COUNTIF($M$3:M306,"6")=0,10^9,LOOKUP(2,1/($M$3:M306="6"),ROW($M$3:M306))),IF(COUNTIF($M$3:M306,"7")=0,10^9,LOOKUP(2,1/($M$3:M306="7"),ROW($M$3:M306))),IF(COUNTIF($M$3:M306,"8")=0,10^9,LOOKUP(2,1/($M$3:M306="8"),ROW($M$3:M306))),IF(COUNTIF($M$3:M306,"9")=0,10^9,LOOKUP(2,1/($M$3:M306="9"),ROW($M$3:M306))))-ROW($M$3)+1),"")),AND(N307&lt;&gt;"",N307=IFERROR(INDEX($N$3:N306,MIN(IF(COUNTIF($N$3:N306,"鼠")=0,10^9,LOOKUP(2,1/($N$3:N306="鼠"),ROW($N$3:N306))),IF(COUNTIF($N$3:N306,"牛")=0,10^9,LOOKUP(2,1/($N$3:N306="牛"),ROW($N$3:N306))),IF(COUNTIF($N$3:N306,"虎")=0,10^9,LOOKUP(2,1/($N$3:N306="虎"),ROW($N$3:N306))),IF(COUNTIF($N$3:N306,"兔")=0,10^9,LOOKUP(2,1/($N$3:N306="兔"),ROW($N$3:N306))),IF(COUNTIF($N$3:N306,"龙")=0,10^9,LOOKUP(2,1/($N$3:N306="龙"),ROW($N$3:N306))),IF(COUNTIF($N$3:N306,"蛇")=0,10^9,LOOKUP(2,1/($N$3:N306="蛇"),ROW($N$3:N306))),IF(COUNTIF($N$3:N306,"马")=0,10^9,LOOKUP(2,1/($N$3:N306="马"),ROW($N$3:N306))),IF(COUNTIF($N$3:N306,"羊")=0,10^9,LOOKUP(2,1/($N$3:N306="羊"),ROW($N$3:N306))),IF(COUNTIF($N$3:N306,"猴")=0,10^9,LOOKUP(2,1/($N$3:N306="猴"),ROW($N$3:N306))),IF(COUNTIF($N$3:N306,"鸡")=0,10^9,LOOKUP(2,1/($N$3:N306="鸡"),ROW($N$3:N306))),IF(COUNTIF($N$3:N306,"狗")=0,10^9,LOOKUP(2,1/($N$3:N306="狗"),ROW($N$3:N306))),IF(COUNTIF($N$3:N306,"猪")=0,10^9,LOOKUP(2,1/($N$3:N306="猪"),ROW($N$3:N306))))-ROW($N$3)+1),""))),0,IF(ISNUMBER(J306),J306+1,1)))</f>
        <v/>
      </c>
      <c r="K307" s="5" t="e">
        <f t="shared" si="30"/>
        <v>#N/A</v>
      </c>
      <c r="M307" s="6" t="str">
        <f t="shared" si="26"/>
        <v/>
      </c>
      <c r="N307" s="2" t="e">
        <f t="shared" si="27"/>
        <v>#N/A</v>
      </c>
      <c r="O307" s="7" t="str">
        <f>IF(M307="","",IF(COUNTIF(M308:$M$1000,M307)&gt;0,"",M307))</f>
        <v/>
      </c>
      <c r="P307" s="8" t="e">
        <f>IF(N307="","",IF(COUNTIF(N308:$N$1000,N307)&gt;0,"",N307))</f>
        <v>#N/A</v>
      </c>
      <c r="Q307" s="21" t="e">
        <f t="shared" si="28"/>
        <v>#NUM!</v>
      </c>
      <c r="R307" s="22" t="e">
        <f t="shared" si="29"/>
        <v>#NUM!</v>
      </c>
      <c r="S307" s="11"/>
      <c r="T307" s="11"/>
      <c r="U307" s="11"/>
      <c r="W307" s="11"/>
      <c r="X307" s="2"/>
      <c r="Y307" s="2"/>
    </row>
    <row r="308" s="1" customFormat="1" spans="1:25">
      <c r="A308" s="2">
        <v>115056943</v>
      </c>
      <c r="B308" s="2"/>
      <c r="C308" s="2"/>
      <c r="D308" s="2"/>
      <c r="E308" s="2"/>
      <c r="F308" s="2"/>
      <c r="G308" s="2"/>
      <c r="H308" s="3"/>
      <c r="I308" s="2" t="e">
        <f t="shared" si="25"/>
        <v>#N/A</v>
      </c>
      <c r="J308" s="4" t="str">
        <f>IF(H308="","",IF(OR(AND(M308&lt;&gt;"",M308=IFERROR(INDEX($M$3:M307,MIN(IF(COUNTIF($M$3:M307,"0")=0,10^9,LOOKUP(2,1/($M$3:M307="0"),ROW($M$3:M307))),IF(COUNTIF($M$3:M307,"1")=0,10^9,LOOKUP(2,1/($M$3:M307="1"),ROW($M$3:M307))),IF(COUNTIF($M$3:M307,"2")=0,10^9,LOOKUP(2,1/($M$3:M307="2"),ROW($M$3:M307))),IF(COUNTIF($M$3:M307,"3")=0,10^9,LOOKUP(2,1/($M$3:M307="3"),ROW($M$3:M307))),IF(COUNTIF($M$3:M307,"4")=0,10^9,LOOKUP(2,1/($M$3:M307="4"),ROW($M$3:M307))),IF(COUNTIF($M$3:M307,"5")=0,10^9,LOOKUP(2,1/($M$3:M307="5"),ROW($M$3:M307))),IF(COUNTIF($M$3:M307,"6")=0,10^9,LOOKUP(2,1/($M$3:M307="6"),ROW($M$3:M307))),IF(COUNTIF($M$3:M307,"7")=0,10^9,LOOKUP(2,1/($M$3:M307="7"),ROW($M$3:M307))),IF(COUNTIF($M$3:M307,"8")=0,10^9,LOOKUP(2,1/($M$3:M307="8"),ROW($M$3:M307))),IF(COUNTIF($M$3:M307,"9")=0,10^9,LOOKUP(2,1/($M$3:M307="9"),ROW($M$3:M307))))-ROW($M$3)+1),"")),AND(N308&lt;&gt;"",N308=IFERROR(INDEX($N$3:N307,MIN(IF(COUNTIF($N$3:N307,"鼠")=0,10^9,LOOKUP(2,1/($N$3:N307="鼠"),ROW($N$3:N307))),IF(COUNTIF($N$3:N307,"牛")=0,10^9,LOOKUP(2,1/($N$3:N307="牛"),ROW($N$3:N307))),IF(COUNTIF($N$3:N307,"虎")=0,10^9,LOOKUP(2,1/($N$3:N307="虎"),ROW($N$3:N307))),IF(COUNTIF($N$3:N307,"兔")=0,10^9,LOOKUP(2,1/($N$3:N307="兔"),ROW($N$3:N307))),IF(COUNTIF($N$3:N307,"龙")=0,10^9,LOOKUP(2,1/($N$3:N307="龙"),ROW($N$3:N307))),IF(COUNTIF($N$3:N307,"蛇")=0,10^9,LOOKUP(2,1/($N$3:N307="蛇"),ROW($N$3:N307))),IF(COUNTIF($N$3:N307,"马")=0,10^9,LOOKUP(2,1/($N$3:N307="马"),ROW($N$3:N307))),IF(COUNTIF($N$3:N307,"羊")=0,10^9,LOOKUP(2,1/($N$3:N307="羊"),ROW($N$3:N307))),IF(COUNTIF($N$3:N307,"猴")=0,10^9,LOOKUP(2,1/($N$3:N307="猴"),ROW($N$3:N307))),IF(COUNTIF($N$3:N307,"鸡")=0,10^9,LOOKUP(2,1/($N$3:N307="鸡"),ROW($N$3:N307))),IF(COUNTIF($N$3:N307,"狗")=0,10^9,LOOKUP(2,1/($N$3:N307="狗"),ROW($N$3:N307))),IF(COUNTIF($N$3:N307,"猪")=0,10^9,LOOKUP(2,1/($N$3:N307="猪"),ROW($N$3:N307))))-ROW($N$3)+1),""))),0,IF(ISNUMBER(J307),J307+1,1)))</f>
        <v/>
      </c>
      <c r="K308" s="5" t="e">
        <f t="shared" si="30"/>
        <v>#N/A</v>
      </c>
      <c r="M308" s="6" t="str">
        <f t="shared" si="26"/>
        <v/>
      </c>
      <c r="N308" s="2" t="e">
        <f t="shared" si="27"/>
        <v>#N/A</v>
      </c>
      <c r="O308" s="7" t="str">
        <f>IF(M308="","",IF(COUNTIF(M309:$M$1000,M308)&gt;0,"",M308))</f>
        <v/>
      </c>
      <c r="P308" s="8" t="e">
        <f>IF(N308="","",IF(COUNTIF(N309:$N$1000,N308)&gt;0,"",N308))</f>
        <v>#N/A</v>
      </c>
      <c r="Q308" s="21" t="e">
        <f t="shared" si="28"/>
        <v>#NUM!</v>
      </c>
      <c r="R308" s="22" t="e">
        <f t="shared" si="29"/>
        <v>#NUM!</v>
      </c>
      <c r="S308" s="11"/>
      <c r="T308" s="11"/>
      <c r="U308" s="11"/>
      <c r="W308" s="11"/>
      <c r="X308" s="2"/>
      <c r="Y308" s="2"/>
    </row>
    <row r="309" s="1" customFormat="1" spans="1:25">
      <c r="A309" s="2">
        <v>115056944</v>
      </c>
      <c r="B309" s="2"/>
      <c r="C309" s="2"/>
      <c r="D309" s="2"/>
      <c r="E309" s="2"/>
      <c r="F309" s="2"/>
      <c r="G309" s="2"/>
      <c r="H309" s="3"/>
      <c r="I309" s="2" t="e">
        <f t="shared" si="25"/>
        <v>#N/A</v>
      </c>
      <c r="J309" s="4" t="str">
        <f>IF(H309="","",IF(OR(AND(M309&lt;&gt;"",M309=IFERROR(INDEX($M$3:M308,MIN(IF(COUNTIF($M$3:M308,"0")=0,10^9,LOOKUP(2,1/($M$3:M308="0"),ROW($M$3:M308))),IF(COUNTIF($M$3:M308,"1")=0,10^9,LOOKUP(2,1/($M$3:M308="1"),ROW($M$3:M308))),IF(COUNTIF($M$3:M308,"2")=0,10^9,LOOKUP(2,1/($M$3:M308="2"),ROW($M$3:M308))),IF(COUNTIF($M$3:M308,"3")=0,10^9,LOOKUP(2,1/($M$3:M308="3"),ROW($M$3:M308))),IF(COUNTIF($M$3:M308,"4")=0,10^9,LOOKUP(2,1/($M$3:M308="4"),ROW($M$3:M308))),IF(COUNTIF($M$3:M308,"5")=0,10^9,LOOKUP(2,1/($M$3:M308="5"),ROW($M$3:M308))),IF(COUNTIF($M$3:M308,"6")=0,10^9,LOOKUP(2,1/($M$3:M308="6"),ROW($M$3:M308))),IF(COUNTIF($M$3:M308,"7")=0,10^9,LOOKUP(2,1/($M$3:M308="7"),ROW($M$3:M308))),IF(COUNTIF($M$3:M308,"8")=0,10^9,LOOKUP(2,1/($M$3:M308="8"),ROW($M$3:M308))),IF(COUNTIF($M$3:M308,"9")=0,10^9,LOOKUP(2,1/($M$3:M308="9"),ROW($M$3:M308))))-ROW($M$3)+1),"")),AND(N309&lt;&gt;"",N309=IFERROR(INDEX($N$3:N308,MIN(IF(COUNTIF($N$3:N308,"鼠")=0,10^9,LOOKUP(2,1/($N$3:N308="鼠"),ROW($N$3:N308))),IF(COUNTIF($N$3:N308,"牛")=0,10^9,LOOKUP(2,1/($N$3:N308="牛"),ROW($N$3:N308))),IF(COUNTIF($N$3:N308,"虎")=0,10^9,LOOKUP(2,1/($N$3:N308="虎"),ROW($N$3:N308))),IF(COUNTIF($N$3:N308,"兔")=0,10^9,LOOKUP(2,1/($N$3:N308="兔"),ROW($N$3:N308))),IF(COUNTIF($N$3:N308,"龙")=0,10^9,LOOKUP(2,1/($N$3:N308="龙"),ROW($N$3:N308))),IF(COUNTIF($N$3:N308,"蛇")=0,10^9,LOOKUP(2,1/($N$3:N308="蛇"),ROW($N$3:N308))),IF(COUNTIF($N$3:N308,"马")=0,10^9,LOOKUP(2,1/($N$3:N308="马"),ROW($N$3:N308))),IF(COUNTIF($N$3:N308,"羊")=0,10^9,LOOKUP(2,1/($N$3:N308="羊"),ROW($N$3:N308))),IF(COUNTIF($N$3:N308,"猴")=0,10^9,LOOKUP(2,1/($N$3:N308="猴"),ROW($N$3:N308))),IF(COUNTIF($N$3:N308,"鸡")=0,10^9,LOOKUP(2,1/($N$3:N308="鸡"),ROW($N$3:N308))),IF(COUNTIF($N$3:N308,"狗")=0,10^9,LOOKUP(2,1/($N$3:N308="狗"),ROW($N$3:N308))),IF(COUNTIF($N$3:N308,"猪")=0,10^9,LOOKUP(2,1/($N$3:N308="猪"),ROW($N$3:N308))))-ROW($N$3)+1),""))),0,IF(ISNUMBER(J308),J308+1,1)))</f>
        <v/>
      </c>
      <c r="K309" s="5" t="e">
        <f t="shared" si="30"/>
        <v>#N/A</v>
      </c>
      <c r="M309" s="6" t="str">
        <f t="shared" si="26"/>
        <v/>
      </c>
      <c r="N309" s="2" t="e">
        <f t="shared" si="27"/>
        <v>#N/A</v>
      </c>
      <c r="O309" s="7" t="str">
        <f>IF(M309="","",IF(COUNTIF(M310:$M$1000,M309)&gt;0,"",M309))</f>
        <v/>
      </c>
      <c r="P309" s="8" t="e">
        <f>IF(N309="","",IF(COUNTIF(N310:$N$1000,N309)&gt;0,"",N309))</f>
        <v>#N/A</v>
      </c>
      <c r="Q309" s="21" t="e">
        <f t="shared" si="28"/>
        <v>#NUM!</v>
      </c>
      <c r="R309" s="22" t="e">
        <f t="shared" si="29"/>
        <v>#NUM!</v>
      </c>
      <c r="S309" s="11"/>
      <c r="T309" s="11"/>
      <c r="U309" s="11"/>
      <c r="W309" s="11"/>
      <c r="X309" s="2"/>
      <c r="Y309" s="2"/>
    </row>
    <row r="310" s="1" customFormat="1" spans="1:25">
      <c r="A310" s="2">
        <v>115056945</v>
      </c>
      <c r="B310" s="2"/>
      <c r="C310" s="2"/>
      <c r="D310" s="2"/>
      <c r="E310" s="2"/>
      <c r="F310" s="2"/>
      <c r="G310" s="2"/>
      <c r="H310" s="3"/>
      <c r="I310" s="2" t="e">
        <f t="shared" si="25"/>
        <v>#N/A</v>
      </c>
      <c r="J310" s="4" t="str">
        <f>IF(H310="","",IF(OR(AND(M310&lt;&gt;"",M310=IFERROR(INDEX($M$3:M309,MIN(IF(COUNTIF($M$3:M309,"0")=0,10^9,LOOKUP(2,1/($M$3:M309="0"),ROW($M$3:M309))),IF(COUNTIF($M$3:M309,"1")=0,10^9,LOOKUP(2,1/($M$3:M309="1"),ROW($M$3:M309))),IF(COUNTIF($M$3:M309,"2")=0,10^9,LOOKUP(2,1/($M$3:M309="2"),ROW($M$3:M309))),IF(COUNTIF($M$3:M309,"3")=0,10^9,LOOKUP(2,1/($M$3:M309="3"),ROW($M$3:M309))),IF(COUNTIF($M$3:M309,"4")=0,10^9,LOOKUP(2,1/($M$3:M309="4"),ROW($M$3:M309))),IF(COUNTIF($M$3:M309,"5")=0,10^9,LOOKUP(2,1/($M$3:M309="5"),ROW($M$3:M309))),IF(COUNTIF($M$3:M309,"6")=0,10^9,LOOKUP(2,1/($M$3:M309="6"),ROW($M$3:M309))),IF(COUNTIF($M$3:M309,"7")=0,10^9,LOOKUP(2,1/($M$3:M309="7"),ROW($M$3:M309))),IF(COUNTIF($M$3:M309,"8")=0,10^9,LOOKUP(2,1/($M$3:M309="8"),ROW($M$3:M309))),IF(COUNTIF($M$3:M309,"9")=0,10^9,LOOKUP(2,1/($M$3:M309="9"),ROW($M$3:M309))))-ROW($M$3)+1),"")),AND(N310&lt;&gt;"",N310=IFERROR(INDEX($N$3:N309,MIN(IF(COUNTIF($N$3:N309,"鼠")=0,10^9,LOOKUP(2,1/($N$3:N309="鼠"),ROW($N$3:N309))),IF(COUNTIF($N$3:N309,"牛")=0,10^9,LOOKUP(2,1/($N$3:N309="牛"),ROW($N$3:N309))),IF(COUNTIF($N$3:N309,"虎")=0,10^9,LOOKUP(2,1/($N$3:N309="虎"),ROW($N$3:N309))),IF(COUNTIF($N$3:N309,"兔")=0,10^9,LOOKUP(2,1/($N$3:N309="兔"),ROW($N$3:N309))),IF(COUNTIF($N$3:N309,"龙")=0,10^9,LOOKUP(2,1/($N$3:N309="龙"),ROW($N$3:N309))),IF(COUNTIF($N$3:N309,"蛇")=0,10^9,LOOKUP(2,1/($N$3:N309="蛇"),ROW($N$3:N309))),IF(COUNTIF($N$3:N309,"马")=0,10^9,LOOKUP(2,1/($N$3:N309="马"),ROW($N$3:N309))),IF(COUNTIF($N$3:N309,"羊")=0,10^9,LOOKUP(2,1/($N$3:N309="羊"),ROW($N$3:N309))),IF(COUNTIF($N$3:N309,"猴")=0,10^9,LOOKUP(2,1/($N$3:N309="猴"),ROW($N$3:N309))),IF(COUNTIF($N$3:N309,"鸡")=0,10^9,LOOKUP(2,1/($N$3:N309="鸡"),ROW($N$3:N309))),IF(COUNTIF($N$3:N309,"狗")=0,10^9,LOOKUP(2,1/($N$3:N309="狗"),ROW($N$3:N309))),IF(COUNTIF($N$3:N309,"猪")=0,10^9,LOOKUP(2,1/($N$3:N309="猪"),ROW($N$3:N309))))-ROW($N$3)+1),""))),0,IF(ISNUMBER(J309),J309+1,1)))</f>
        <v/>
      </c>
      <c r="K310" s="5" t="e">
        <f t="shared" si="30"/>
        <v>#N/A</v>
      </c>
      <c r="M310" s="6" t="str">
        <f t="shared" si="26"/>
        <v/>
      </c>
      <c r="N310" s="2" t="e">
        <f t="shared" si="27"/>
        <v>#N/A</v>
      </c>
      <c r="O310" s="7" t="str">
        <f>IF(M310="","",IF(COUNTIF(M311:$M$1000,M310)&gt;0,"",M310))</f>
        <v/>
      </c>
      <c r="P310" s="8" t="e">
        <f>IF(N310="","",IF(COUNTIF(N311:$N$1000,N310)&gt;0,"",N310))</f>
        <v>#N/A</v>
      </c>
      <c r="Q310" s="21" t="e">
        <f t="shared" si="28"/>
        <v>#NUM!</v>
      </c>
      <c r="R310" s="22" t="e">
        <f t="shared" si="29"/>
        <v>#NUM!</v>
      </c>
      <c r="S310" s="11"/>
      <c r="T310" s="11"/>
      <c r="U310" s="11"/>
      <c r="W310" s="11"/>
      <c r="X310" s="2"/>
      <c r="Y310" s="2"/>
    </row>
    <row r="311" s="1" customFormat="1" spans="1:25">
      <c r="A311" s="2">
        <v>115056946</v>
      </c>
      <c r="B311" s="2"/>
      <c r="C311" s="2"/>
      <c r="D311" s="2"/>
      <c r="E311" s="2"/>
      <c r="F311" s="2"/>
      <c r="G311" s="2"/>
      <c r="H311" s="3"/>
      <c r="I311" s="2" t="e">
        <f t="shared" si="25"/>
        <v>#N/A</v>
      </c>
      <c r="J311" s="4" t="str">
        <f>IF(H311="","",IF(OR(AND(M311&lt;&gt;"",M311=IFERROR(INDEX($M$3:M310,MIN(IF(COUNTIF($M$3:M310,"0")=0,10^9,LOOKUP(2,1/($M$3:M310="0"),ROW($M$3:M310))),IF(COUNTIF($M$3:M310,"1")=0,10^9,LOOKUP(2,1/($M$3:M310="1"),ROW($M$3:M310))),IF(COUNTIF($M$3:M310,"2")=0,10^9,LOOKUP(2,1/($M$3:M310="2"),ROW($M$3:M310))),IF(COUNTIF($M$3:M310,"3")=0,10^9,LOOKUP(2,1/($M$3:M310="3"),ROW($M$3:M310))),IF(COUNTIF($M$3:M310,"4")=0,10^9,LOOKUP(2,1/($M$3:M310="4"),ROW($M$3:M310))),IF(COUNTIF($M$3:M310,"5")=0,10^9,LOOKUP(2,1/($M$3:M310="5"),ROW($M$3:M310))),IF(COUNTIF($M$3:M310,"6")=0,10^9,LOOKUP(2,1/($M$3:M310="6"),ROW($M$3:M310))),IF(COUNTIF($M$3:M310,"7")=0,10^9,LOOKUP(2,1/($M$3:M310="7"),ROW($M$3:M310))),IF(COUNTIF($M$3:M310,"8")=0,10^9,LOOKUP(2,1/($M$3:M310="8"),ROW($M$3:M310))),IF(COUNTIF($M$3:M310,"9")=0,10^9,LOOKUP(2,1/($M$3:M310="9"),ROW($M$3:M310))))-ROW($M$3)+1),"")),AND(N311&lt;&gt;"",N311=IFERROR(INDEX($N$3:N310,MIN(IF(COUNTIF($N$3:N310,"鼠")=0,10^9,LOOKUP(2,1/($N$3:N310="鼠"),ROW($N$3:N310))),IF(COUNTIF($N$3:N310,"牛")=0,10^9,LOOKUP(2,1/($N$3:N310="牛"),ROW($N$3:N310))),IF(COUNTIF($N$3:N310,"虎")=0,10^9,LOOKUP(2,1/($N$3:N310="虎"),ROW($N$3:N310))),IF(COUNTIF($N$3:N310,"兔")=0,10^9,LOOKUP(2,1/($N$3:N310="兔"),ROW($N$3:N310))),IF(COUNTIF($N$3:N310,"龙")=0,10^9,LOOKUP(2,1/($N$3:N310="龙"),ROW($N$3:N310))),IF(COUNTIF($N$3:N310,"蛇")=0,10^9,LOOKUP(2,1/($N$3:N310="蛇"),ROW($N$3:N310))),IF(COUNTIF($N$3:N310,"马")=0,10^9,LOOKUP(2,1/($N$3:N310="马"),ROW($N$3:N310))),IF(COUNTIF($N$3:N310,"羊")=0,10^9,LOOKUP(2,1/($N$3:N310="羊"),ROW($N$3:N310))),IF(COUNTIF($N$3:N310,"猴")=0,10^9,LOOKUP(2,1/($N$3:N310="猴"),ROW($N$3:N310))),IF(COUNTIF($N$3:N310,"鸡")=0,10^9,LOOKUP(2,1/($N$3:N310="鸡"),ROW($N$3:N310))),IF(COUNTIF($N$3:N310,"狗")=0,10^9,LOOKUP(2,1/($N$3:N310="狗"),ROW($N$3:N310))),IF(COUNTIF($N$3:N310,"猪")=0,10^9,LOOKUP(2,1/($N$3:N310="猪"),ROW($N$3:N310))))-ROW($N$3)+1),""))),0,IF(ISNUMBER(J310),J310+1,1)))</f>
        <v/>
      </c>
      <c r="K311" s="5" t="e">
        <f t="shared" si="30"/>
        <v>#N/A</v>
      </c>
      <c r="M311" s="6" t="str">
        <f t="shared" si="26"/>
        <v/>
      </c>
      <c r="N311" s="2" t="e">
        <f t="shared" si="27"/>
        <v>#N/A</v>
      </c>
      <c r="O311" s="7" t="str">
        <f>IF(M311="","",IF(COUNTIF(M312:$M$1000,M311)&gt;0,"",M311))</f>
        <v/>
      </c>
      <c r="P311" s="8" t="e">
        <f>IF(N311="","",IF(COUNTIF(N312:$N$1000,N311)&gt;0,"",N311))</f>
        <v>#N/A</v>
      </c>
      <c r="Q311" s="21" t="e">
        <f t="shared" si="28"/>
        <v>#NUM!</v>
      </c>
      <c r="R311" s="22" t="e">
        <f t="shared" si="29"/>
        <v>#NUM!</v>
      </c>
      <c r="S311" s="11"/>
      <c r="T311" s="11"/>
      <c r="U311" s="11"/>
      <c r="W311" s="11"/>
      <c r="X311" s="2"/>
      <c r="Y311" s="2"/>
    </row>
    <row r="312" s="1" customFormat="1" spans="1:25">
      <c r="A312" s="2">
        <v>115056947</v>
      </c>
      <c r="B312" s="2"/>
      <c r="C312" s="2"/>
      <c r="D312" s="2"/>
      <c r="E312" s="2"/>
      <c r="F312" s="2"/>
      <c r="G312" s="2"/>
      <c r="H312" s="3"/>
      <c r="I312" s="2" t="e">
        <f t="shared" si="25"/>
        <v>#N/A</v>
      </c>
      <c r="J312" s="4" t="str">
        <f>IF(H312="","",IF(OR(AND(M312&lt;&gt;"",M312=IFERROR(INDEX($M$3:M311,MIN(IF(COUNTIF($M$3:M311,"0")=0,10^9,LOOKUP(2,1/($M$3:M311="0"),ROW($M$3:M311))),IF(COUNTIF($M$3:M311,"1")=0,10^9,LOOKUP(2,1/($M$3:M311="1"),ROW($M$3:M311))),IF(COUNTIF($M$3:M311,"2")=0,10^9,LOOKUP(2,1/($M$3:M311="2"),ROW($M$3:M311))),IF(COUNTIF($M$3:M311,"3")=0,10^9,LOOKUP(2,1/($M$3:M311="3"),ROW($M$3:M311))),IF(COUNTIF($M$3:M311,"4")=0,10^9,LOOKUP(2,1/($M$3:M311="4"),ROW($M$3:M311))),IF(COUNTIF($M$3:M311,"5")=0,10^9,LOOKUP(2,1/($M$3:M311="5"),ROW($M$3:M311))),IF(COUNTIF($M$3:M311,"6")=0,10^9,LOOKUP(2,1/($M$3:M311="6"),ROW($M$3:M311))),IF(COUNTIF($M$3:M311,"7")=0,10^9,LOOKUP(2,1/($M$3:M311="7"),ROW($M$3:M311))),IF(COUNTIF($M$3:M311,"8")=0,10^9,LOOKUP(2,1/($M$3:M311="8"),ROW($M$3:M311))),IF(COUNTIF($M$3:M311,"9")=0,10^9,LOOKUP(2,1/($M$3:M311="9"),ROW($M$3:M311))))-ROW($M$3)+1),"")),AND(N312&lt;&gt;"",N312=IFERROR(INDEX($N$3:N311,MIN(IF(COUNTIF($N$3:N311,"鼠")=0,10^9,LOOKUP(2,1/($N$3:N311="鼠"),ROW($N$3:N311))),IF(COUNTIF($N$3:N311,"牛")=0,10^9,LOOKUP(2,1/($N$3:N311="牛"),ROW($N$3:N311))),IF(COUNTIF($N$3:N311,"虎")=0,10^9,LOOKUP(2,1/($N$3:N311="虎"),ROW($N$3:N311))),IF(COUNTIF($N$3:N311,"兔")=0,10^9,LOOKUP(2,1/($N$3:N311="兔"),ROW($N$3:N311))),IF(COUNTIF($N$3:N311,"龙")=0,10^9,LOOKUP(2,1/($N$3:N311="龙"),ROW($N$3:N311))),IF(COUNTIF($N$3:N311,"蛇")=0,10^9,LOOKUP(2,1/($N$3:N311="蛇"),ROW($N$3:N311))),IF(COUNTIF($N$3:N311,"马")=0,10^9,LOOKUP(2,1/($N$3:N311="马"),ROW($N$3:N311))),IF(COUNTIF($N$3:N311,"羊")=0,10^9,LOOKUP(2,1/($N$3:N311="羊"),ROW($N$3:N311))),IF(COUNTIF($N$3:N311,"猴")=0,10^9,LOOKUP(2,1/($N$3:N311="猴"),ROW($N$3:N311))),IF(COUNTIF($N$3:N311,"鸡")=0,10^9,LOOKUP(2,1/($N$3:N311="鸡"),ROW($N$3:N311))),IF(COUNTIF($N$3:N311,"狗")=0,10^9,LOOKUP(2,1/($N$3:N311="狗"),ROW($N$3:N311))),IF(COUNTIF($N$3:N311,"猪")=0,10^9,LOOKUP(2,1/($N$3:N311="猪"),ROW($N$3:N311))))-ROW($N$3)+1),""))),0,IF(ISNUMBER(J311),J311+1,1)))</f>
        <v/>
      </c>
      <c r="K312" s="5" t="e">
        <f t="shared" si="30"/>
        <v>#N/A</v>
      </c>
      <c r="M312" s="6" t="str">
        <f t="shared" si="26"/>
        <v/>
      </c>
      <c r="N312" s="2" t="e">
        <f t="shared" si="27"/>
        <v>#N/A</v>
      </c>
      <c r="O312" s="7" t="str">
        <f>IF(M312="","",IF(COUNTIF(M313:$M$1000,M312)&gt;0,"",M312))</f>
        <v/>
      </c>
      <c r="P312" s="8" t="e">
        <f>IF(N312="","",IF(COUNTIF(N313:$N$1000,N312)&gt;0,"",N312))</f>
        <v>#N/A</v>
      </c>
      <c r="Q312" s="21" t="e">
        <f t="shared" si="28"/>
        <v>#NUM!</v>
      </c>
      <c r="R312" s="22" t="e">
        <f t="shared" si="29"/>
        <v>#NUM!</v>
      </c>
      <c r="S312" s="11"/>
      <c r="T312" s="11"/>
      <c r="U312" s="11"/>
      <c r="W312" s="11"/>
      <c r="X312" s="2"/>
      <c r="Y312" s="2"/>
    </row>
    <row r="313" s="1" customFormat="1" spans="1:25">
      <c r="A313" s="2">
        <v>115056948</v>
      </c>
      <c r="B313" s="2"/>
      <c r="C313" s="2"/>
      <c r="D313" s="2"/>
      <c r="E313" s="2"/>
      <c r="F313" s="2"/>
      <c r="G313" s="2"/>
      <c r="H313" s="3"/>
      <c r="I313" s="2" t="e">
        <f t="shared" si="25"/>
        <v>#N/A</v>
      </c>
      <c r="J313" s="4" t="str">
        <f>IF(H313="","",IF(OR(AND(M313&lt;&gt;"",M313=IFERROR(INDEX($M$3:M312,MIN(IF(COUNTIF($M$3:M312,"0")=0,10^9,LOOKUP(2,1/($M$3:M312="0"),ROW($M$3:M312))),IF(COUNTIF($M$3:M312,"1")=0,10^9,LOOKUP(2,1/($M$3:M312="1"),ROW($M$3:M312))),IF(COUNTIF($M$3:M312,"2")=0,10^9,LOOKUP(2,1/($M$3:M312="2"),ROW($M$3:M312))),IF(COUNTIF($M$3:M312,"3")=0,10^9,LOOKUP(2,1/($M$3:M312="3"),ROW($M$3:M312))),IF(COUNTIF($M$3:M312,"4")=0,10^9,LOOKUP(2,1/($M$3:M312="4"),ROW($M$3:M312))),IF(COUNTIF($M$3:M312,"5")=0,10^9,LOOKUP(2,1/($M$3:M312="5"),ROW($M$3:M312))),IF(COUNTIF($M$3:M312,"6")=0,10^9,LOOKUP(2,1/($M$3:M312="6"),ROW($M$3:M312))),IF(COUNTIF($M$3:M312,"7")=0,10^9,LOOKUP(2,1/($M$3:M312="7"),ROW($M$3:M312))),IF(COUNTIF($M$3:M312,"8")=0,10^9,LOOKUP(2,1/($M$3:M312="8"),ROW($M$3:M312))),IF(COUNTIF($M$3:M312,"9")=0,10^9,LOOKUP(2,1/($M$3:M312="9"),ROW($M$3:M312))))-ROW($M$3)+1),"")),AND(N313&lt;&gt;"",N313=IFERROR(INDEX($N$3:N312,MIN(IF(COUNTIF($N$3:N312,"鼠")=0,10^9,LOOKUP(2,1/($N$3:N312="鼠"),ROW($N$3:N312))),IF(COUNTIF($N$3:N312,"牛")=0,10^9,LOOKUP(2,1/($N$3:N312="牛"),ROW($N$3:N312))),IF(COUNTIF($N$3:N312,"虎")=0,10^9,LOOKUP(2,1/($N$3:N312="虎"),ROW($N$3:N312))),IF(COUNTIF($N$3:N312,"兔")=0,10^9,LOOKUP(2,1/($N$3:N312="兔"),ROW($N$3:N312))),IF(COUNTIF($N$3:N312,"龙")=0,10^9,LOOKUP(2,1/($N$3:N312="龙"),ROW($N$3:N312))),IF(COUNTIF($N$3:N312,"蛇")=0,10^9,LOOKUP(2,1/($N$3:N312="蛇"),ROW($N$3:N312))),IF(COUNTIF($N$3:N312,"马")=0,10^9,LOOKUP(2,1/($N$3:N312="马"),ROW($N$3:N312))),IF(COUNTIF($N$3:N312,"羊")=0,10^9,LOOKUP(2,1/($N$3:N312="羊"),ROW($N$3:N312))),IF(COUNTIF($N$3:N312,"猴")=0,10^9,LOOKUP(2,1/($N$3:N312="猴"),ROW($N$3:N312))),IF(COUNTIF($N$3:N312,"鸡")=0,10^9,LOOKUP(2,1/($N$3:N312="鸡"),ROW($N$3:N312))),IF(COUNTIF($N$3:N312,"狗")=0,10^9,LOOKUP(2,1/($N$3:N312="狗"),ROW($N$3:N312))),IF(COUNTIF($N$3:N312,"猪")=0,10^9,LOOKUP(2,1/($N$3:N312="猪"),ROW($N$3:N312))))-ROW($N$3)+1),""))),0,IF(ISNUMBER(J312),J312+1,1)))</f>
        <v/>
      </c>
      <c r="K313" s="5" t="e">
        <f t="shared" si="30"/>
        <v>#N/A</v>
      </c>
      <c r="M313" s="6" t="str">
        <f t="shared" si="26"/>
        <v/>
      </c>
      <c r="N313" s="2" t="e">
        <f t="shared" si="27"/>
        <v>#N/A</v>
      </c>
      <c r="O313" s="7" t="str">
        <f>IF(M313="","",IF(COUNTIF(M314:$M$1000,M313)&gt;0,"",M313))</f>
        <v/>
      </c>
      <c r="P313" s="8" t="e">
        <f>IF(N313="","",IF(COUNTIF(N314:$N$1000,N313)&gt;0,"",N313))</f>
        <v>#N/A</v>
      </c>
      <c r="Q313" s="21" t="e">
        <f t="shared" si="28"/>
        <v>#NUM!</v>
      </c>
      <c r="R313" s="22" t="e">
        <f t="shared" si="29"/>
        <v>#NUM!</v>
      </c>
      <c r="S313" s="11"/>
      <c r="T313" s="11"/>
      <c r="U313" s="11"/>
      <c r="W313" s="11"/>
      <c r="X313" s="2"/>
      <c r="Y313" s="2"/>
    </row>
    <row r="314" s="1" customFormat="1" spans="1:25">
      <c r="A314" s="2">
        <v>115056949</v>
      </c>
      <c r="B314" s="2"/>
      <c r="C314" s="2"/>
      <c r="D314" s="2"/>
      <c r="E314" s="2"/>
      <c r="F314" s="2"/>
      <c r="G314" s="2"/>
      <c r="H314" s="3"/>
      <c r="I314" s="2" t="e">
        <f t="shared" si="25"/>
        <v>#N/A</v>
      </c>
      <c r="J314" s="4" t="str">
        <f>IF(H314="","",IF(OR(AND(M314&lt;&gt;"",M314=IFERROR(INDEX($M$3:M313,MIN(IF(COUNTIF($M$3:M313,"0")=0,10^9,LOOKUP(2,1/($M$3:M313="0"),ROW($M$3:M313))),IF(COUNTIF($M$3:M313,"1")=0,10^9,LOOKUP(2,1/($M$3:M313="1"),ROW($M$3:M313))),IF(COUNTIF($M$3:M313,"2")=0,10^9,LOOKUP(2,1/($M$3:M313="2"),ROW($M$3:M313))),IF(COUNTIF($M$3:M313,"3")=0,10^9,LOOKUP(2,1/($M$3:M313="3"),ROW($M$3:M313))),IF(COUNTIF($M$3:M313,"4")=0,10^9,LOOKUP(2,1/($M$3:M313="4"),ROW($M$3:M313))),IF(COUNTIF($M$3:M313,"5")=0,10^9,LOOKUP(2,1/($M$3:M313="5"),ROW($M$3:M313))),IF(COUNTIF($M$3:M313,"6")=0,10^9,LOOKUP(2,1/($M$3:M313="6"),ROW($M$3:M313))),IF(COUNTIF($M$3:M313,"7")=0,10^9,LOOKUP(2,1/($M$3:M313="7"),ROW($M$3:M313))),IF(COUNTIF($M$3:M313,"8")=0,10^9,LOOKUP(2,1/($M$3:M313="8"),ROW($M$3:M313))),IF(COUNTIF($M$3:M313,"9")=0,10^9,LOOKUP(2,1/($M$3:M313="9"),ROW($M$3:M313))))-ROW($M$3)+1),"")),AND(N314&lt;&gt;"",N314=IFERROR(INDEX($N$3:N313,MIN(IF(COUNTIF($N$3:N313,"鼠")=0,10^9,LOOKUP(2,1/($N$3:N313="鼠"),ROW($N$3:N313))),IF(COUNTIF($N$3:N313,"牛")=0,10^9,LOOKUP(2,1/($N$3:N313="牛"),ROW($N$3:N313))),IF(COUNTIF($N$3:N313,"虎")=0,10^9,LOOKUP(2,1/($N$3:N313="虎"),ROW($N$3:N313))),IF(COUNTIF($N$3:N313,"兔")=0,10^9,LOOKUP(2,1/($N$3:N313="兔"),ROW($N$3:N313))),IF(COUNTIF($N$3:N313,"龙")=0,10^9,LOOKUP(2,1/($N$3:N313="龙"),ROW($N$3:N313))),IF(COUNTIF($N$3:N313,"蛇")=0,10^9,LOOKUP(2,1/($N$3:N313="蛇"),ROW($N$3:N313))),IF(COUNTIF($N$3:N313,"马")=0,10^9,LOOKUP(2,1/($N$3:N313="马"),ROW($N$3:N313))),IF(COUNTIF($N$3:N313,"羊")=0,10^9,LOOKUP(2,1/($N$3:N313="羊"),ROW($N$3:N313))),IF(COUNTIF($N$3:N313,"猴")=0,10^9,LOOKUP(2,1/($N$3:N313="猴"),ROW($N$3:N313))),IF(COUNTIF($N$3:N313,"鸡")=0,10^9,LOOKUP(2,1/($N$3:N313="鸡"),ROW($N$3:N313))),IF(COUNTIF($N$3:N313,"狗")=0,10^9,LOOKUP(2,1/($N$3:N313="狗"),ROW($N$3:N313))),IF(COUNTIF($N$3:N313,"猪")=0,10^9,LOOKUP(2,1/($N$3:N313="猪"),ROW($N$3:N313))))-ROW($N$3)+1),""))),0,IF(ISNUMBER(J313),J313+1,1)))</f>
        <v/>
      </c>
      <c r="K314" s="5" t="e">
        <f t="shared" si="30"/>
        <v>#N/A</v>
      </c>
      <c r="M314" s="6" t="str">
        <f t="shared" si="26"/>
        <v/>
      </c>
      <c r="N314" s="2" t="e">
        <f t="shared" si="27"/>
        <v>#N/A</v>
      </c>
      <c r="O314" s="7" t="str">
        <f>IF(M314="","",IF(COUNTIF(M315:$M$1000,M314)&gt;0,"",M314))</f>
        <v/>
      </c>
      <c r="P314" s="8" t="e">
        <f>IF(N314="","",IF(COUNTIF(N315:$N$1000,N314)&gt;0,"",N314))</f>
        <v>#N/A</v>
      </c>
      <c r="Q314" s="21" t="e">
        <f t="shared" si="28"/>
        <v>#NUM!</v>
      </c>
      <c r="R314" s="22" t="e">
        <f t="shared" si="29"/>
        <v>#NUM!</v>
      </c>
      <c r="S314" s="11"/>
      <c r="T314" s="11"/>
      <c r="U314" s="11"/>
      <c r="W314" s="11"/>
      <c r="X314" s="2"/>
      <c r="Y314" s="2"/>
    </row>
    <row r="315" s="1" customFormat="1" spans="1:25">
      <c r="A315" s="2">
        <v>115056950</v>
      </c>
      <c r="B315" s="2"/>
      <c r="C315" s="2"/>
      <c r="D315" s="2"/>
      <c r="E315" s="2"/>
      <c r="F315" s="2"/>
      <c r="G315" s="2"/>
      <c r="H315" s="3"/>
      <c r="I315" s="2" t="e">
        <f t="shared" si="25"/>
        <v>#N/A</v>
      </c>
      <c r="J315" s="4" t="str">
        <f>IF(H315="","",IF(OR(AND(M315&lt;&gt;"",M315=IFERROR(INDEX($M$3:M314,MIN(IF(COUNTIF($M$3:M314,"0")=0,10^9,LOOKUP(2,1/($M$3:M314="0"),ROW($M$3:M314))),IF(COUNTIF($M$3:M314,"1")=0,10^9,LOOKUP(2,1/($M$3:M314="1"),ROW($M$3:M314))),IF(COUNTIF($M$3:M314,"2")=0,10^9,LOOKUP(2,1/($M$3:M314="2"),ROW($M$3:M314))),IF(COUNTIF($M$3:M314,"3")=0,10^9,LOOKUP(2,1/($M$3:M314="3"),ROW($M$3:M314))),IF(COUNTIF($M$3:M314,"4")=0,10^9,LOOKUP(2,1/($M$3:M314="4"),ROW($M$3:M314))),IF(COUNTIF($M$3:M314,"5")=0,10^9,LOOKUP(2,1/($M$3:M314="5"),ROW($M$3:M314))),IF(COUNTIF($M$3:M314,"6")=0,10^9,LOOKUP(2,1/($M$3:M314="6"),ROW($M$3:M314))),IF(COUNTIF($M$3:M314,"7")=0,10^9,LOOKUP(2,1/($M$3:M314="7"),ROW($M$3:M314))),IF(COUNTIF($M$3:M314,"8")=0,10^9,LOOKUP(2,1/($M$3:M314="8"),ROW($M$3:M314))),IF(COUNTIF($M$3:M314,"9")=0,10^9,LOOKUP(2,1/($M$3:M314="9"),ROW($M$3:M314))))-ROW($M$3)+1),"")),AND(N315&lt;&gt;"",N315=IFERROR(INDEX($N$3:N314,MIN(IF(COUNTIF($N$3:N314,"鼠")=0,10^9,LOOKUP(2,1/($N$3:N314="鼠"),ROW($N$3:N314))),IF(COUNTIF($N$3:N314,"牛")=0,10^9,LOOKUP(2,1/($N$3:N314="牛"),ROW($N$3:N314))),IF(COUNTIF($N$3:N314,"虎")=0,10^9,LOOKUP(2,1/($N$3:N314="虎"),ROW($N$3:N314))),IF(COUNTIF($N$3:N314,"兔")=0,10^9,LOOKUP(2,1/($N$3:N314="兔"),ROW($N$3:N314))),IF(COUNTIF($N$3:N314,"龙")=0,10^9,LOOKUP(2,1/($N$3:N314="龙"),ROW($N$3:N314))),IF(COUNTIF($N$3:N314,"蛇")=0,10^9,LOOKUP(2,1/($N$3:N314="蛇"),ROW($N$3:N314))),IF(COUNTIF($N$3:N314,"马")=0,10^9,LOOKUP(2,1/($N$3:N314="马"),ROW($N$3:N314))),IF(COUNTIF($N$3:N314,"羊")=0,10^9,LOOKUP(2,1/($N$3:N314="羊"),ROW($N$3:N314))),IF(COUNTIF($N$3:N314,"猴")=0,10^9,LOOKUP(2,1/($N$3:N314="猴"),ROW($N$3:N314))),IF(COUNTIF($N$3:N314,"鸡")=0,10^9,LOOKUP(2,1/($N$3:N314="鸡"),ROW($N$3:N314))),IF(COUNTIF($N$3:N314,"狗")=0,10^9,LOOKUP(2,1/($N$3:N314="狗"),ROW($N$3:N314))),IF(COUNTIF($N$3:N314,"猪")=0,10^9,LOOKUP(2,1/($N$3:N314="猪"),ROW($N$3:N314))))-ROW($N$3)+1),""))),0,IF(ISNUMBER(J314),J314+1,1)))</f>
        <v/>
      </c>
      <c r="K315" s="5" t="e">
        <f t="shared" si="30"/>
        <v>#N/A</v>
      </c>
      <c r="M315" s="6" t="str">
        <f t="shared" si="26"/>
        <v/>
      </c>
      <c r="N315" s="2" t="e">
        <f t="shared" si="27"/>
        <v>#N/A</v>
      </c>
      <c r="O315" s="7" t="str">
        <f>IF(M315="","",IF(COUNTIF(M316:$M$1000,M315)&gt;0,"",M315))</f>
        <v/>
      </c>
      <c r="P315" s="8" t="e">
        <f>IF(N315="","",IF(COUNTIF(N316:$N$1000,N315)&gt;0,"",N315))</f>
        <v>#N/A</v>
      </c>
      <c r="Q315" s="21" t="e">
        <f t="shared" si="28"/>
        <v>#NUM!</v>
      </c>
      <c r="R315" s="22" t="e">
        <f t="shared" si="29"/>
        <v>#NUM!</v>
      </c>
      <c r="S315" s="11"/>
      <c r="T315" s="11"/>
      <c r="U315" s="11"/>
      <c r="W315" s="11"/>
      <c r="X315" s="2"/>
      <c r="Y315" s="2"/>
    </row>
    <row r="316" s="1" customFormat="1" spans="1:25">
      <c r="A316" s="2">
        <v>115056951</v>
      </c>
      <c r="B316" s="2"/>
      <c r="C316" s="2"/>
      <c r="D316" s="2"/>
      <c r="E316" s="2"/>
      <c r="F316" s="2"/>
      <c r="G316" s="2"/>
      <c r="H316" s="3"/>
      <c r="I316" s="2" t="e">
        <f t="shared" si="25"/>
        <v>#N/A</v>
      </c>
      <c r="J316" s="4" t="str">
        <f>IF(H316="","",IF(OR(AND(M316&lt;&gt;"",M316=IFERROR(INDEX($M$3:M315,MIN(IF(COUNTIF($M$3:M315,"0")=0,10^9,LOOKUP(2,1/($M$3:M315="0"),ROW($M$3:M315))),IF(COUNTIF($M$3:M315,"1")=0,10^9,LOOKUP(2,1/($M$3:M315="1"),ROW($M$3:M315))),IF(COUNTIF($M$3:M315,"2")=0,10^9,LOOKUP(2,1/($M$3:M315="2"),ROW($M$3:M315))),IF(COUNTIF($M$3:M315,"3")=0,10^9,LOOKUP(2,1/($M$3:M315="3"),ROW($M$3:M315))),IF(COUNTIF($M$3:M315,"4")=0,10^9,LOOKUP(2,1/($M$3:M315="4"),ROW($M$3:M315))),IF(COUNTIF($M$3:M315,"5")=0,10^9,LOOKUP(2,1/($M$3:M315="5"),ROW($M$3:M315))),IF(COUNTIF($M$3:M315,"6")=0,10^9,LOOKUP(2,1/($M$3:M315="6"),ROW($M$3:M315))),IF(COUNTIF($M$3:M315,"7")=0,10^9,LOOKUP(2,1/($M$3:M315="7"),ROW($M$3:M315))),IF(COUNTIF($M$3:M315,"8")=0,10^9,LOOKUP(2,1/($M$3:M315="8"),ROW($M$3:M315))),IF(COUNTIF($M$3:M315,"9")=0,10^9,LOOKUP(2,1/($M$3:M315="9"),ROW($M$3:M315))))-ROW($M$3)+1),"")),AND(N316&lt;&gt;"",N316=IFERROR(INDEX($N$3:N315,MIN(IF(COUNTIF($N$3:N315,"鼠")=0,10^9,LOOKUP(2,1/($N$3:N315="鼠"),ROW($N$3:N315))),IF(COUNTIF($N$3:N315,"牛")=0,10^9,LOOKUP(2,1/($N$3:N315="牛"),ROW($N$3:N315))),IF(COUNTIF($N$3:N315,"虎")=0,10^9,LOOKUP(2,1/($N$3:N315="虎"),ROW($N$3:N315))),IF(COUNTIF($N$3:N315,"兔")=0,10^9,LOOKUP(2,1/($N$3:N315="兔"),ROW($N$3:N315))),IF(COUNTIF($N$3:N315,"龙")=0,10^9,LOOKUP(2,1/($N$3:N315="龙"),ROW($N$3:N315))),IF(COUNTIF($N$3:N315,"蛇")=0,10^9,LOOKUP(2,1/($N$3:N315="蛇"),ROW($N$3:N315))),IF(COUNTIF($N$3:N315,"马")=0,10^9,LOOKUP(2,1/($N$3:N315="马"),ROW($N$3:N315))),IF(COUNTIF($N$3:N315,"羊")=0,10^9,LOOKUP(2,1/($N$3:N315="羊"),ROW($N$3:N315))),IF(COUNTIF($N$3:N315,"猴")=0,10^9,LOOKUP(2,1/($N$3:N315="猴"),ROW($N$3:N315))),IF(COUNTIF($N$3:N315,"鸡")=0,10^9,LOOKUP(2,1/($N$3:N315="鸡"),ROW($N$3:N315))),IF(COUNTIF($N$3:N315,"狗")=0,10^9,LOOKUP(2,1/($N$3:N315="狗"),ROW($N$3:N315))),IF(COUNTIF($N$3:N315,"猪")=0,10^9,LOOKUP(2,1/($N$3:N315="猪"),ROW($N$3:N315))))-ROW($N$3)+1),""))),0,IF(ISNUMBER(J315),J315+1,1)))</f>
        <v/>
      </c>
      <c r="K316" s="5" t="e">
        <f t="shared" si="30"/>
        <v>#N/A</v>
      </c>
      <c r="M316" s="6" t="str">
        <f t="shared" si="26"/>
        <v/>
      </c>
      <c r="N316" s="2" t="e">
        <f t="shared" si="27"/>
        <v>#N/A</v>
      </c>
      <c r="O316" s="7" t="str">
        <f>IF(M316="","",IF(COUNTIF(M317:$M$1000,M316)&gt;0,"",M316))</f>
        <v/>
      </c>
      <c r="P316" s="8" t="e">
        <f>IF(N316="","",IF(COUNTIF(N317:$N$1000,N316)&gt;0,"",N316))</f>
        <v>#N/A</v>
      </c>
      <c r="Q316" s="21" t="e">
        <f t="shared" si="28"/>
        <v>#NUM!</v>
      </c>
      <c r="R316" s="22" t="e">
        <f t="shared" si="29"/>
        <v>#NUM!</v>
      </c>
      <c r="S316" s="11"/>
      <c r="T316" s="11"/>
      <c r="U316" s="11"/>
      <c r="W316" s="11"/>
      <c r="X316" s="2"/>
      <c r="Y316" s="2"/>
    </row>
    <row r="317" s="1" customFormat="1" spans="1:25">
      <c r="A317" s="2">
        <v>115056952</v>
      </c>
      <c r="B317" s="2"/>
      <c r="C317" s="2"/>
      <c r="D317" s="2"/>
      <c r="E317" s="2"/>
      <c r="F317" s="2"/>
      <c r="G317" s="2"/>
      <c r="H317" s="3"/>
      <c r="I317" s="2" t="e">
        <f t="shared" si="25"/>
        <v>#N/A</v>
      </c>
      <c r="J317" s="4" t="str">
        <f>IF(H317="","",IF(OR(AND(M317&lt;&gt;"",M317=IFERROR(INDEX($M$3:M316,MIN(IF(COUNTIF($M$3:M316,"0")=0,10^9,LOOKUP(2,1/($M$3:M316="0"),ROW($M$3:M316))),IF(COUNTIF($M$3:M316,"1")=0,10^9,LOOKUP(2,1/($M$3:M316="1"),ROW($M$3:M316))),IF(COUNTIF($M$3:M316,"2")=0,10^9,LOOKUP(2,1/($M$3:M316="2"),ROW($M$3:M316))),IF(COUNTIF($M$3:M316,"3")=0,10^9,LOOKUP(2,1/($M$3:M316="3"),ROW($M$3:M316))),IF(COUNTIF($M$3:M316,"4")=0,10^9,LOOKUP(2,1/($M$3:M316="4"),ROW($M$3:M316))),IF(COUNTIF($M$3:M316,"5")=0,10^9,LOOKUP(2,1/($M$3:M316="5"),ROW($M$3:M316))),IF(COUNTIF($M$3:M316,"6")=0,10^9,LOOKUP(2,1/($M$3:M316="6"),ROW($M$3:M316))),IF(COUNTIF($M$3:M316,"7")=0,10^9,LOOKUP(2,1/($M$3:M316="7"),ROW($M$3:M316))),IF(COUNTIF($M$3:M316,"8")=0,10^9,LOOKUP(2,1/($M$3:M316="8"),ROW($M$3:M316))),IF(COUNTIF($M$3:M316,"9")=0,10^9,LOOKUP(2,1/($M$3:M316="9"),ROW($M$3:M316))))-ROW($M$3)+1),"")),AND(N317&lt;&gt;"",N317=IFERROR(INDEX($N$3:N316,MIN(IF(COUNTIF($N$3:N316,"鼠")=0,10^9,LOOKUP(2,1/($N$3:N316="鼠"),ROW($N$3:N316))),IF(COUNTIF($N$3:N316,"牛")=0,10^9,LOOKUP(2,1/($N$3:N316="牛"),ROW($N$3:N316))),IF(COUNTIF($N$3:N316,"虎")=0,10^9,LOOKUP(2,1/($N$3:N316="虎"),ROW($N$3:N316))),IF(COUNTIF($N$3:N316,"兔")=0,10^9,LOOKUP(2,1/($N$3:N316="兔"),ROW($N$3:N316))),IF(COUNTIF($N$3:N316,"龙")=0,10^9,LOOKUP(2,1/($N$3:N316="龙"),ROW($N$3:N316))),IF(COUNTIF($N$3:N316,"蛇")=0,10^9,LOOKUP(2,1/($N$3:N316="蛇"),ROW($N$3:N316))),IF(COUNTIF($N$3:N316,"马")=0,10^9,LOOKUP(2,1/($N$3:N316="马"),ROW($N$3:N316))),IF(COUNTIF($N$3:N316,"羊")=0,10^9,LOOKUP(2,1/($N$3:N316="羊"),ROW($N$3:N316))),IF(COUNTIF($N$3:N316,"猴")=0,10^9,LOOKUP(2,1/($N$3:N316="猴"),ROW($N$3:N316))),IF(COUNTIF($N$3:N316,"鸡")=0,10^9,LOOKUP(2,1/($N$3:N316="鸡"),ROW($N$3:N316))),IF(COUNTIF($N$3:N316,"狗")=0,10^9,LOOKUP(2,1/($N$3:N316="狗"),ROW($N$3:N316))),IF(COUNTIF($N$3:N316,"猪")=0,10^9,LOOKUP(2,1/($N$3:N316="猪"),ROW($N$3:N316))))-ROW($N$3)+1),""))),0,IF(ISNUMBER(J316),J316+1,1)))</f>
        <v/>
      </c>
      <c r="K317" s="5" t="e">
        <f t="shared" si="30"/>
        <v>#N/A</v>
      </c>
      <c r="M317" s="6" t="str">
        <f t="shared" si="26"/>
        <v/>
      </c>
      <c r="N317" s="2" t="e">
        <f t="shared" si="27"/>
        <v>#N/A</v>
      </c>
      <c r="O317" s="7" t="str">
        <f>IF(M317="","",IF(COUNTIF(M318:$M$1000,M317)&gt;0,"",M317))</f>
        <v/>
      </c>
      <c r="P317" s="8" t="e">
        <f>IF(N317="","",IF(COUNTIF(N318:$N$1000,N317)&gt;0,"",N317))</f>
        <v>#N/A</v>
      </c>
      <c r="Q317" s="21" t="e">
        <f t="shared" si="28"/>
        <v>#NUM!</v>
      </c>
      <c r="R317" s="22" t="e">
        <f t="shared" si="29"/>
        <v>#NUM!</v>
      </c>
      <c r="S317" s="11"/>
      <c r="T317" s="11"/>
      <c r="U317" s="11"/>
      <c r="W317" s="11"/>
      <c r="X317" s="2"/>
      <c r="Y317" s="2"/>
    </row>
    <row r="318" s="1" customFormat="1" spans="1:25">
      <c r="A318" s="2">
        <v>115056953</v>
      </c>
      <c r="B318" s="2"/>
      <c r="C318" s="2"/>
      <c r="D318" s="2"/>
      <c r="E318" s="2"/>
      <c r="F318" s="2"/>
      <c r="G318" s="2"/>
      <c r="H318" s="3"/>
      <c r="I318" s="2" t="e">
        <f t="shared" si="25"/>
        <v>#N/A</v>
      </c>
      <c r="J318" s="4" t="str">
        <f>IF(H318="","",IF(OR(AND(M318&lt;&gt;"",M318=IFERROR(INDEX($M$3:M317,MIN(IF(COUNTIF($M$3:M317,"0")=0,10^9,LOOKUP(2,1/($M$3:M317="0"),ROW($M$3:M317))),IF(COUNTIF($M$3:M317,"1")=0,10^9,LOOKUP(2,1/($M$3:M317="1"),ROW($M$3:M317))),IF(COUNTIF($M$3:M317,"2")=0,10^9,LOOKUP(2,1/($M$3:M317="2"),ROW($M$3:M317))),IF(COUNTIF($M$3:M317,"3")=0,10^9,LOOKUP(2,1/($M$3:M317="3"),ROW($M$3:M317))),IF(COUNTIF($M$3:M317,"4")=0,10^9,LOOKUP(2,1/($M$3:M317="4"),ROW($M$3:M317))),IF(COUNTIF($M$3:M317,"5")=0,10^9,LOOKUP(2,1/($M$3:M317="5"),ROW($M$3:M317))),IF(COUNTIF($M$3:M317,"6")=0,10^9,LOOKUP(2,1/($M$3:M317="6"),ROW($M$3:M317))),IF(COUNTIF($M$3:M317,"7")=0,10^9,LOOKUP(2,1/($M$3:M317="7"),ROW($M$3:M317))),IF(COUNTIF($M$3:M317,"8")=0,10^9,LOOKUP(2,1/($M$3:M317="8"),ROW($M$3:M317))),IF(COUNTIF($M$3:M317,"9")=0,10^9,LOOKUP(2,1/($M$3:M317="9"),ROW($M$3:M317))))-ROW($M$3)+1),"")),AND(N318&lt;&gt;"",N318=IFERROR(INDEX($N$3:N317,MIN(IF(COUNTIF($N$3:N317,"鼠")=0,10^9,LOOKUP(2,1/($N$3:N317="鼠"),ROW($N$3:N317))),IF(COUNTIF($N$3:N317,"牛")=0,10^9,LOOKUP(2,1/($N$3:N317="牛"),ROW($N$3:N317))),IF(COUNTIF($N$3:N317,"虎")=0,10^9,LOOKUP(2,1/($N$3:N317="虎"),ROW($N$3:N317))),IF(COUNTIF($N$3:N317,"兔")=0,10^9,LOOKUP(2,1/($N$3:N317="兔"),ROW($N$3:N317))),IF(COUNTIF($N$3:N317,"龙")=0,10^9,LOOKUP(2,1/($N$3:N317="龙"),ROW($N$3:N317))),IF(COUNTIF($N$3:N317,"蛇")=0,10^9,LOOKUP(2,1/($N$3:N317="蛇"),ROW($N$3:N317))),IF(COUNTIF($N$3:N317,"马")=0,10^9,LOOKUP(2,1/($N$3:N317="马"),ROW($N$3:N317))),IF(COUNTIF($N$3:N317,"羊")=0,10^9,LOOKUP(2,1/($N$3:N317="羊"),ROW($N$3:N317))),IF(COUNTIF($N$3:N317,"猴")=0,10^9,LOOKUP(2,1/($N$3:N317="猴"),ROW($N$3:N317))),IF(COUNTIF($N$3:N317,"鸡")=0,10^9,LOOKUP(2,1/($N$3:N317="鸡"),ROW($N$3:N317))),IF(COUNTIF($N$3:N317,"狗")=0,10^9,LOOKUP(2,1/($N$3:N317="狗"),ROW($N$3:N317))),IF(COUNTIF($N$3:N317,"猪")=0,10^9,LOOKUP(2,1/($N$3:N317="猪"),ROW($N$3:N317))))-ROW($N$3)+1),""))),0,IF(ISNUMBER(J317),J317+1,1)))</f>
        <v/>
      </c>
      <c r="K318" s="5" t="e">
        <f t="shared" si="30"/>
        <v>#N/A</v>
      </c>
      <c r="M318" s="6" t="str">
        <f t="shared" si="26"/>
        <v/>
      </c>
      <c r="N318" s="2" t="e">
        <f t="shared" si="27"/>
        <v>#N/A</v>
      </c>
      <c r="O318" s="7" t="str">
        <f>IF(M318="","",IF(COUNTIF(M319:$M$1000,M318)&gt;0,"",M318))</f>
        <v/>
      </c>
      <c r="P318" s="8" t="e">
        <f>IF(N318="","",IF(COUNTIF(N319:$N$1000,N318)&gt;0,"",N318))</f>
        <v>#N/A</v>
      </c>
      <c r="Q318" s="21" t="e">
        <f t="shared" si="28"/>
        <v>#NUM!</v>
      </c>
      <c r="R318" s="22" t="e">
        <f t="shared" si="29"/>
        <v>#NUM!</v>
      </c>
      <c r="S318" s="11"/>
      <c r="T318" s="11"/>
      <c r="U318" s="11"/>
      <c r="W318" s="11"/>
      <c r="X318" s="2"/>
      <c r="Y318" s="2"/>
    </row>
    <row r="319" s="1" customFormat="1" spans="1:25">
      <c r="A319" s="2">
        <v>115056954</v>
      </c>
      <c r="B319" s="2"/>
      <c r="C319" s="2"/>
      <c r="D319" s="2"/>
      <c r="E319" s="2"/>
      <c r="F319" s="2"/>
      <c r="G319" s="2"/>
      <c r="H319" s="3"/>
      <c r="I319" s="2" t="e">
        <f t="shared" si="25"/>
        <v>#N/A</v>
      </c>
      <c r="J319" s="4" t="str">
        <f>IF(H319="","",IF(OR(AND(M319&lt;&gt;"",M319=IFERROR(INDEX($M$3:M318,MIN(IF(COUNTIF($M$3:M318,"0")=0,10^9,LOOKUP(2,1/($M$3:M318="0"),ROW($M$3:M318))),IF(COUNTIF($M$3:M318,"1")=0,10^9,LOOKUP(2,1/($M$3:M318="1"),ROW($M$3:M318))),IF(COUNTIF($M$3:M318,"2")=0,10^9,LOOKUP(2,1/($M$3:M318="2"),ROW($M$3:M318))),IF(COUNTIF($M$3:M318,"3")=0,10^9,LOOKUP(2,1/($M$3:M318="3"),ROW($M$3:M318))),IF(COUNTIF($M$3:M318,"4")=0,10^9,LOOKUP(2,1/($M$3:M318="4"),ROW($M$3:M318))),IF(COUNTIF($M$3:M318,"5")=0,10^9,LOOKUP(2,1/($M$3:M318="5"),ROW($M$3:M318))),IF(COUNTIF($M$3:M318,"6")=0,10^9,LOOKUP(2,1/($M$3:M318="6"),ROW($M$3:M318))),IF(COUNTIF($M$3:M318,"7")=0,10^9,LOOKUP(2,1/($M$3:M318="7"),ROW($M$3:M318))),IF(COUNTIF($M$3:M318,"8")=0,10^9,LOOKUP(2,1/($M$3:M318="8"),ROW($M$3:M318))),IF(COUNTIF($M$3:M318,"9")=0,10^9,LOOKUP(2,1/($M$3:M318="9"),ROW($M$3:M318))))-ROW($M$3)+1),"")),AND(N319&lt;&gt;"",N319=IFERROR(INDEX($N$3:N318,MIN(IF(COUNTIF($N$3:N318,"鼠")=0,10^9,LOOKUP(2,1/($N$3:N318="鼠"),ROW($N$3:N318))),IF(COUNTIF($N$3:N318,"牛")=0,10^9,LOOKUP(2,1/($N$3:N318="牛"),ROW($N$3:N318))),IF(COUNTIF($N$3:N318,"虎")=0,10^9,LOOKUP(2,1/($N$3:N318="虎"),ROW($N$3:N318))),IF(COUNTIF($N$3:N318,"兔")=0,10^9,LOOKUP(2,1/($N$3:N318="兔"),ROW($N$3:N318))),IF(COUNTIF($N$3:N318,"龙")=0,10^9,LOOKUP(2,1/($N$3:N318="龙"),ROW($N$3:N318))),IF(COUNTIF($N$3:N318,"蛇")=0,10^9,LOOKUP(2,1/($N$3:N318="蛇"),ROW($N$3:N318))),IF(COUNTIF($N$3:N318,"马")=0,10^9,LOOKUP(2,1/($N$3:N318="马"),ROW($N$3:N318))),IF(COUNTIF($N$3:N318,"羊")=0,10^9,LOOKUP(2,1/($N$3:N318="羊"),ROW($N$3:N318))),IF(COUNTIF($N$3:N318,"猴")=0,10^9,LOOKUP(2,1/($N$3:N318="猴"),ROW($N$3:N318))),IF(COUNTIF($N$3:N318,"鸡")=0,10^9,LOOKUP(2,1/($N$3:N318="鸡"),ROW($N$3:N318))),IF(COUNTIF($N$3:N318,"狗")=0,10^9,LOOKUP(2,1/($N$3:N318="狗"),ROW($N$3:N318))),IF(COUNTIF($N$3:N318,"猪")=0,10^9,LOOKUP(2,1/($N$3:N318="猪"),ROW($N$3:N318))))-ROW($N$3)+1),""))),0,IF(ISNUMBER(J318),J318+1,1)))</f>
        <v/>
      </c>
      <c r="K319" s="5" t="e">
        <f t="shared" si="30"/>
        <v>#N/A</v>
      </c>
      <c r="M319" s="6" t="str">
        <f t="shared" si="26"/>
        <v/>
      </c>
      <c r="N319" s="2" t="e">
        <f t="shared" si="27"/>
        <v>#N/A</v>
      </c>
      <c r="O319" s="7" t="str">
        <f>IF(M319="","",IF(COUNTIF(M320:$M$1000,M319)&gt;0,"",M319))</f>
        <v/>
      </c>
      <c r="P319" s="8" t="e">
        <f>IF(N319="","",IF(COUNTIF(N320:$N$1000,N319)&gt;0,"",N319))</f>
        <v>#N/A</v>
      </c>
      <c r="Q319" s="21" t="e">
        <f t="shared" si="28"/>
        <v>#NUM!</v>
      </c>
      <c r="R319" s="22" t="e">
        <f t="shared" si="29"/>
        <v>#NUM!</v>
      </c>
      <c r="S319" s="11"/>
      <c r="T319" s="11"/>
      <c r="U319" s="11"/>
      <c r="W319" s="11"/>
      <c r="X319" s="2"/>
      <c r="Y319" s="2"/>
    </row>
    <row r="320" s="1" customFormat="1" spans="1:25">
      <c r="A320" s="2">
        <v>115056955</v>
      </c>
      <c r="B320" s="2"/>
      <c r="C320" s="2"/>
      <c r="D320" s="2"/>
      <c r="E320" s="2"/>
      <c r="F320" s="2"/>
      <c r="G320" s="2"/>
      <c r="H320" s="3"/>
      <c r="I320" s="2" t="e">
        <f t="shared" si="25"/>
        <v>#N/A</v>
      </c>
      <c r="J320" s="4" t="str">
        <f>IF(H320="","",IF(OR(AND(M320&lt;&gt;"",M320=IFERROR(INDEX($M$3:M319,MIN(IF(COUNTIF($M$3:M319,"0")=0,10^9,LOOKUP(2,1/($M$3:M319="0"),ROW($M$3:M319))),IF(COUNTIF($M$3:M319,"1")=0,10^9,LOOKUP(2,1/($M$3:M319="1"),ROW($M$3:M319))),IF(COUNTIF($M$3:M319,"2")=0,10^9,LOOKUP(2,1/($M$3:M319="2"),ROW($M$3:M319))),IF(COUNTIF($M$3:M319,"3")=0,10^9,LOOKUP(2,1/($M$3:M319="3"),ROW($M$3:M319))),IF(COUNTIF($M$3:M319,"4")=0,10^9,LOOKUP(2,1/($M$3:M319="4"),ROW($M$3:M319))),IF(COUNTIF($M$3:M319,"5")=0,10^9,LOOKUP(2,1/($M$3:M319="5"),ROW($M$3:M319))),IF(COUNTIF($M$3:M319,"6")=0,10^9,LOOKUP(2,1/($M$3:M319="6"),ROW($M$3:M319))),IF(COUNTIF($M$3:M319,"7")=0,10^9,LOOKUP(2,1/($M$3:M319="7"),ROW($M$3:M319))),IF(COUNTIF($M$3:M319,"8")=0,10^9,LOOKUP(2,1/($M$3:M319="8"),ROW($M$3:M319))),IF(COUNTIF($M$3:M319,"9")=0,10^9,LOOKUP(2,1/($M$3:M319="9"),ROW($M$3:M319))))-ROW($M$3)+1),"")),AND(N320&lt;&gt;"",N320=IFERROR(INDEX($N$3:N319,MIN(IF(COUNTIF($N$3:N319,"鼠")=0,10^9,LOOKUP(2,1/($N$3:N319="鼠"),ROW($N$3:N319))),IF(COUNTIF($N$3:N319,"牛")=0,10^9,LOOKUP(2,1/($N$3:N319="牛"),ROW($N$3:N319))),IF(COUNTIF($N$3:N319,"虎")=0,10^9,LOOKUP(2,1/($N$3:N319="虎"),ROW($N$3:N319))),IF(COUNTIF($N$3:N319,"兔")=0,10^9,LOOKUP(2,1/($N$3:N319="兔"),ROW($N$3:N319))),IF(COUNTIF($N$3:N319,"龙")=0,10^9,LOOKUP(2,1/($N$3:N319="龙"),ROW($N$3:N319))),IF(COUNTIF($N$3:N319,"蛇")=0,10^9,LOOKUP(2,1/($N$3:N319="蛇"),ROW($N$3:N319))),IF(COUNTIF($N$3:N319,"马")=0,10^9,LOOKUP(2,1/($N$3:N319="马"),ROW($N$3:N319))),IF(COUNTIF($N$3:N319,"羊")=0,10^9,LOOKUP(2,1/($N$3:N319="羊"),ROW($N$3:N319))),IF(COUNTIF($N$3:N319,"猴")=0,10^9,LOOKUP(2,1/($N$3:N319="猴"),ROW($N$3:N319))),IF(COUNTIF($N$3:N319,"鸡")=0,10^9,LOOKUP(2,1/($N$3:N319="鸡"),ROW($N$3:N319))),IF(COUNTIF($N$3:N319,"狗")=0,10^9,LOOKUP(2,1/($N$3:N319="狗"),ROW($N$3:N319))),IF(COUNTIF($N$3:N319,"猪")=0,10^9,LOOKUP(2,1/($N$3:N319="猪"),ROW($N$3:N319))))-ROW($N$3)+1),""))),0,IF(ISNUMBER(J319),J319+1,1)))</f>
        <v/>
      </c>
      <c r="K320" s="5" t="e">
        <f t="shared" si="30"/>
        <v>#N/A</v>
      </c>
      <c r="M320" s="6" t="str">
        <f t="shared" si="26"/>
        <v/>
      </c>
      <c r="N320" s="2" t="e">
        <f t="shared" si="27"/>
        <v>#N/A</v>
      </c>
      <c r="O320" s="7" t="str">
        <f>IF(M320="","",IF(COUNTIF(M321:$M$1000,M320)&gt;0,"",M320))</f>
        <v/>
      </c>
      <c r="P320" s="8" t="e">
        <f>IF(N320="","",IF(COUNTIF(N321:$N$1000,N320)&gt;0,"",N320))</f>
        <v>#N/A</v>
      </c>
      <c r="Q320" s="21" t="e">
        <f t="shared" si="28"/>
        <v>#NUM!</v>
      </c>
      <c r="R320" s="22" t="e">
        <f t="shared" si="29"/>
        <v>#NUM!</v>
      </c>
      <c r="S320" s="11"/>
      <c r="T320" s="11"/>
      <c r="U320" s="11"/>
      <c r="W320" s="11"/>
      <c r="X320" s="2"/>
      <c r="Y320" s="2"/>
    </row>
    <row r="321" s="1" customFormat="1" spans="1:25">
      <c r="A321" s="2">
        <v>115056956</v>
      </c>
      <c r="B321" s="2"/>
      <c r="C321" s="2"/>
      <c r="D321" s="2"/>
      <c r="E321" s="2"/>
      <c r="F321" s="2"/>
      <c r="G321" s="2"/>
      <c r="H321" s="3"/>
      <c r="I321" s="2" t="e">
        <f t="shared" si="25"/>
        <v>#N/A</v>
      </c>
      <c r="J321" s="4" t="str">
        <f>IF(H321="","",IF(OR(AND(M321&lt;&gt;"",M321=IFERROR(INDEX($M$3:M320,MIN(IF(COUNTIF($M$3:M320,"0")=0,10^9,LOOKUP(2,1/($M$3:M320="0"),ROW($M$3:M320))),IF(COUNTIF($M$3:M320,"1")=0,10^9,LOOKUP(2,1/($M$3:M320="1"),ROW($M$3:M320))),IF(COUNTIF($M$3:M320,"2")=0,10^9,LOOKUP(2,1/($M$3:M320="2"),ROW($M$3:M320))),IF(COUNTIF($M$3:M320,"3")=0,10^9,LOOKUP(2,1/($M$3:M320="3"),ROW($M$3:M320))),IF(COUNTIF($M$3:M320,"4")=0,10^9,LOOKUP(2,1/($M$3:M320="4"),ROW($M$3:M320))),IF(COUNTIF($M$3:M320,"5")=0,10^9,LOOKUP(2,1/($M$3:M320="5"),ROW($M$3:M320))),IF(COUNTIF($M$3:M320,"6")=0,10^9,LOOKUP(2,1/($M$3:M320="6"),ROW($M$3:M320))),IF(COUNTIF($M$3:M320,"7")=0,10^9,LOOKUP(2,1/($M$3:M320="7"),ROW($M$3:M320))),IF(COUNTIF($M$3:M320,"8")=0,10^9,LOOKUP(2,1/($M$3:M320="8"),ROW($M$3:M320))),IF(COUNTIF($M$3:M320,"9")=0,10^9,LOOKUP(2,1/($M$3:M320="9"),ROW($M$3:M320))))-ROW($M$3)+1),"")),AND(N321&lt;&gt;"",N321=IFERROR(INDEX($N$3:N320,MIN(IF(COUNTIF($N$3:N320,"鼠")=0,10^9,LOOKUP(2,1/($N$3:N320="鼠"),ROW($N$3:N320))),IF(COUNTIF($N$3:N320,"牛")=0,10^9,LOOKUP(2,1/($N$3:N320="牛"),ROW($N$3:N320))),IF(COUNTIF($N$3:N320,"虎")=0,10^9,LOOKUP(2,1/($N$3:N320="虎"),ROW($N$3:N320))),IF(COUNTIF($N$3:N320,"兔")=0,10^9,LOOKUP(2,1/($N$3:N320="兔"),ROW($N$3:N320))),IF(COUNTIF($N$3:N320,"龙")=0,10^9,LOOKUP(2,1/($N$3:N320="龙"),ROW($N$3:N320))),IF(COUNTIF($N$3:N320,"蛇")=0,10^9,LOOKUP(2,1/($N$3:N320="蛇"),ROW($N$3:N320))),IF(COUNTIF($N$3:N320,"马")=0,10^9,LOOKUP(2,1/($N$3:N320="马"),ROW($N$3:N320))),IF(COUNTIF($N$3:N320,"羊")=0,10^9,LOOKUP(2,1/($N$3:N320="羊"),ROW($N$3:N320))),IF(COUNTIF($N$3:N320,"猴")=0,10^9,LOOKUP(2,1/($N$3:N320="猴"),ROW($N$3:N320))),IF(COUNTIF($N$3:N320,"鸡")=0,10^9,LOOKUP(2,1/($N$3:N320="鸡"),ROW($N$3:N320))),IF(COUNTIF($N$3:N320,"狗")=0,10^9,LOOKUP(2,1/($N$3:N320="狗"),ROW($N$3:N320))),IF(COUNTIF($N$3:N320,"猪")=0,10^9,LOOKUP(2,1/($N$3:N320="猪"),ROW($N$3:N320))))-ROW($N$3)+1),""))),0,IF(ISNUMBER(J320),J320+1,1)))</f>
        <v/>
      </c>
      <c r="K321" s="5" t="e">
        <f t="shared" si="30"/>
        <v>#N/A</v>
      </c>
      <c r="M321" s="6" t="str">
        <f t="shared" si="26"/>
        <v/>
      </c>
      <c r="N321" s="2" t="e">
        <f t="shared" si="27"/>
        <v>#N/A</v>
      </c>
      <c r="O321" s="7" t="str">
        <f>IF(M321="","",IF(COUNTIF(M322:$M$1000,M321)&gt;0,"",M321))</f>
        <v/>
      </c>
      <c r="P321" s="8" t="e">
        <f>IF(N321="","",IF(COUNTIF(N322:$N$1000,N321)&gt;0,"",N321))</f>
        <v>#N/A</v>
      </c>
      <c r="Q321" s="21" t="e">
        <f t="shared" si="28"/>
        <v>#NUM!</v>
      </c>
      <c r="R321" s="22" t="e">
        <f t="shared" si="29"/>
        <v>#NUM!</v>
      </c>
      <c r="S321" s="11"/>
      <c r="T321" s="11"/>
      <c r="U321" s="11"/>
      <c r="W321" s="11"/>
      <c r="X321" s="2"/>
      <c r="Y321" s="2"/>
    </row>
    <row r="322" s="1" customFormat="1" spans="1:25">
      <c r="A322" s="2">
        <v>115056957</v>
      </c>
      <c r="B322" s="2"/>
      <c r="C322" s="2"/>
      <c r="D322" s="2"/>
      <c r="E322" s="2"/>
      <c r="F322" s="2"/>
      <c r="G322" s="2"/>
      <c r="H322" s="3"/>
      <c r="I322" s="2" t="e">
        <f t="shared" si="25"/>
        <v>#N/A</v>
      </c>
      <c r="J322" s="4" t="str">
        <f>IF(H322="","",IF(OR(AND(M322&lt;&gt;"",M322=IFERROR(INDEX($M$3:M321,MIN(IF(COUNTIF($M$3:M321,"0")=0,10^9,LOOKUP(2,1/($M$3:M321="0"),ROW($M$3:M321))),IF(COUNTIF($M$3:M321,"1")=0,10^9,LOOKUP(2,1/($M$3:M321="1"),ROW($M$3:M321))),IF(COUNTIF($M$3:M321,"2")=0,10^9,LOOKUP(2,1/($M$3:M321="2"),ROW($M$3:M321))),IF(COUNTIF($M$3:M321,"3")=0,10^9,LOOKUP(2,1/($M$3:M321="3"),ROW($M$3:M321))),IF(COUNTIF($M$3:M321,"4")=0,10^9,LOOKUP(2,1/($M$3:M321="4"),ROW($M$3:M321))),IF(COUNTIF($M$3:M321,"5")=0,10^9,LOOKUP(2,1/($M$3:M321="5"),ROW($M$3:M321))),IF(COUNTIF($M$3:M321,"6")=0,10^9,LOOKUP(2,1/($M$3:M321="6"),ROW($M$3:M321))),IF(COUNTIF($M$3:M321,"7")=0,10^9,LOOKUP(2,1/($M$3:M321="7"),ROW($M$3:M321))),IF(COUNTIF($M$3:M321,"8")=0,10^9,LOOKUP(2,1/($M$3:M321="8"),ROW($M$3:M321))),IF(COUNTIF($M$3:M321,"9")=0,10^9,LOOKUP(2,1/($M$3:M321="9"),ROW($M$3:M321))))-ROW($M$3)+1),"")),AND(N322&lt;&gt;"",N322=IFERROR(INDEX($N$3:N321,MIN(IF(COUNTIF($N$3:N321,"鼠")=0,10^9,LOOKUP(2,1/($N$3:N321="鼠"),ROW($N$3:N321))),IF(COUNTIF($N$3:N321,"牛")=0,10^9,LOOKUP(2,1/($N$3:N321="牛"),ROW($N$3:N321))),IF(COUNTIF($N$3:N321,"虎")=0,10^9,LOOKUP(2,1/($N$3:N321="虎"),ROW($N$3:N321))),IF(COUNTIF($N$3:N321,"兔")=0,10^9,LOOKUP(2,1/($N$3:N321="兔"),ROW($N$3:N321))),IF(COUNTIF($N$3:N321,"龙")=0,10^9,LOOKUP(2,1/($N$3:N321="龙"),ROW($N$3:N321))),IF(COUNTIF($N$3:N321,"蛇")=0,10^9,LOOKUP(2,1/($N$3:N321="蛇"),ROW($N$3:N321))),IF(COUNTIF($N$3:N321,"马")=0,10^9,LOOKUP(2,1/($N$3:N321="马"),ROW($N$3:N321))),IF(COUNTIF($N$3:N321,"羊")=0,10^9,LOOKUP(2,1/($N$3:N321="羊"),ROW($N$3:N321))),IF(COUNTIF($N$3:N321,"猴")=0,10^9,LOOKUP(2,1/($N$3:N321="猴"),ROW($N$3:N321))),IF(COUNTIF($N$3:N321,"鸡")=0,10^9,LOOKUP(2,1/($N$3:N321="鸡"),ROW($N$3:N321))),IF(COUNTIF($N$3:N321,"狗")=0,10^9,LOOKUP(2,1/($N$3:N321="狗"),ROW($N$3:N321))),IF(COUNTIF($N$3:N321,"猪")=0,10^9,LOOKUP(2,1/($N$3:N321="猪"),ROW($N$3:N321))))-ROW($N$3)+1),""))),0,IF(ISNUMBER(J321),J321+1,1)))</f>
        <v/>
      </c>
      <c r="K322" s="5" t="e">
        <f t="shared" si="30"/>
        <v>#N/A</v>
      </c>
      <c r="M322" s="6" t="str">
        <f t="shared" si="26"/>
        <v/>
      </c>
      <c r="N322" s="2" t="e">
        <f t="shared" si="27"/>
        <v>#N/A</v>
      </c>
      <c r="O322" s="7" t="str">
        <f>IF(M322="","",IF(COUNTIF(M323:$M$1000,M322)&gt;0,"",M322))</f>
        <v/>
      </c>
      <c r="P322" s="8" t="e">
        <f>IF(N322="","",IF(COUNTIF(N323:$N$1000,N322)&gt;0,"",N322))</f>
        <v>#N/A</v>
      </c>
      <c r="Q322" s="21" t="e">
        <f t="shared" si="28"/>
        <v>#NUM!</v>
      </c>
      <c r="R322" s="22" t="e">
        <f t="shared" si="29"/>
        <v>#NUM!</v>
      </c>
      <c r="S322" s="11"/>
      <c r="T322" s="11"/>
      <c r="U322" s="11"/>
      <c r="W322" s="11"/>
      <c r="X322" s="2"/>
      <c r="Y322" s="2"/>
    </row>
    <row r="323" s="1" customFormat="1" spans="1:25">
      <c r="A323" s="2">
        <v>115056958</v>
      </c>
      <c r="B323" s="2"/>
      <c r="C323" s="2"/>
      <c r="D323" s="2"/>
      <c r="E323" s="2"/>
      <c r="F323" s="2"/>
      <c r="G323" s="2"/>
      <c r="H323" s="3"/>
      <c r="I323" s="2" t="e">
        <f t="shared" ref="I323:I386" si="31">VLOOKUP(H323,X:Y,2,0)</f>
        <v>#N/A</v>
      </c>
      <c r="J323" s="4" t="str">
        <f>IF(H323="","",IF(OR(AND(M323&lt;&gt;"",M323=IFERROR(INDEX($M$3:M322,MIN(IF(COUNTIF($M$3:M322,"0")=0,10^9,LOOKUP(2,1/($M$3:M322="0"),ROW($M$3:M322))),IF(COUNTIF($M$3:M322,"1")=0,10^9,LOOKUP(2,1/($M$3:M322="1"),ROW($M$3:M322))),IF(COUNTIF($M$3:M322,"2")=0,10^9,LOOKUP(2,1/($M$3:M322="2"),ROW($M$3:M322))),IF(COUNTIF($M$3:M322,"3")=0,10^9,LOOKUP(2,1/($M$3:M322="3"),ROW($M$3:M322))),IF(COUNTIF($M$3:M322,"4")=0,10^9,LOOKUP(2,1/($M$3:M322="4"),ROW($M$3:M322))),IF(COUNTIF($M$3:M322,"5")=0,10^9,LOOKUP(2,1/($M$3:M322="5"),ROW($M$3:M322))),IF(COUNTIF($M$3:M322,"6")=0,10^9,LOOKUP(2,1/($M$3:M322="6"),ROW($M$3:M322))),IF(COUNTIF($M$3:M322,"7")=0,10^9,LOOKUP(2,1/($M$3:M322="7"),ROW($M$3:M322))),IF(COUNTIF($M$3:M322,"8")=0,10^9,LOOKUP(2,1/($M$3:M322="8"),ROW($M$3:M322))),IF(COUNTIF($M$3:M322,"9")=0,10^9,LOOKUP(2,1/($M$3:M322="9"),ROW($M$3:M322))))-ROW($M$3)+1),"")),AND(N323&lt;&gt;"",N323=IFERROR(INDEX($N$3:N322,MIN(IF(COUNTIF($N$3:N322,"鼠")=0,10^9,LOOKUP(2,1/($N$3:N322="鼠"),ROW($N$3:N322))),IF(COUNTIF($N$3:N322,"牛")=0,10^9,LOOKUP(2,1/($N$3:N322="牛"),ROW($N$3:N322))),IF(COUNTIF($N$3:N322,"虎")=0,10^9,LOOKUP(2,1/($N$3:N322="虎"),ROW($N$3:N322))),IF(COUNTIF($N$3:N322,"兔")=0,10^9,LOOKUP(2,1/($N$3:N322="兔"),ROW($N$3:N322))),IF(COUNTIF($N$3:N322,"龙")=0,10^9,LOOKUP(2,1/($N$3:N322="龙"),ROW($N$3:N322))),IF(COUNTIF($N$3:N322,"蛇")=0,10^9,LOOKUP(2,1/($N$3:N322="蛇"),ROW($N$3:N322))),IF(COUNTIF($N$3:N322,"马")=0,10^9,LOOKUP(2,1/($N$3:N322="马"),ROW($N$3:N322))),IF(COUNTIF($N$3:N322,"羊")=0,10^9,LOOKUP(2,1/($N$3:N322="羊"),ROW($N$3:N322))),IF(COUNTIF($N$3:N322,"猴")=0,10^9,LOOKUP(2,1/($N$3:N322="猴"),ROW($N$3:N322))),IF(COUNTIF($N$3:N322,"鸡")=0,10^9,LOOKUP(2,1/($N$3:N322="鸡"),ROW($N$3:N322))),IF(COUNTIF($N$3:N322,"狗")=0,10^9,LOOKUP(2,1/($N$3:N322="狗"),ROW($N$3:N322))),IF(COUNTIF($N$3:N322,"猪")=0,10^9,LOOKUP(2,1/($N$3:N322="猪"),ROW($N$3:N322))))-ROW($N$3)+1),""))),0,IF(ISNUMBER(J322),J322+1,1)))</f>
        <v/>
      </c>
      <c r="K323" s="5" t="e">
        <f t="shared" si="30"/>
        <v>#N/A</v>
      </c>
      <c r="M323" s="6" t="str">
        <f t="shared" ref="M323:M386" si="32">RIGHT(H323,1)</f>
        <v/>
      </c>
      <c r="N323" s="2" t="e">
        <f t="shared" ref="N323:N386" si="33">I323</f>
        <v>#N/A</v>
      </c>
      <c r="O323" s="7" t="str">
        <f>IF(M323="","",IF(COUNTIF(M324:$M$1000,M323)&gt;0,"",M323))</f>
        <v/>
      </c>
      <c r="P323" s="8" t="e">
        <f>IF(N323="","",IF(COUNTIF(N324:$N$1000,N323)&gt;0,"",N323))</f>
        <v>#N/A</v>
      </c>
      <c r="Q323" s="21" t="e">
        <f t="shared" ref="Q323:Q386" si="34">MOD(INT(SMALL(B323:G323,5)/10)+MOD(SMALL(B323:G323,5),10),10)+INT(SMALL(B323:G323,4)/10)+INT(SMALL(B323:G323,6)/10)+MOD(SMALL(B323:G323,6),10)+SMALL(B323:G323,4)+SMALL(B323:G323,6)+9</f>
        <v>#NUM!</v>
      </c>
      <c r="R323" s="22" t="e">
        <f t="shared" ref="R323:R386" si="35">VLOOKUP(Q323,X:Y,2,0)</f>
        <v>#NUM!</v>
      </c>
      <c r="S323" s="11"/>
      <c r="T323" s="11"/>
      <c r="U323" s="11"/>
      <c r="W323" s="11"/>
      <c r="X323" s="2"/>
      <c r="Y323" s="2"/>
    </row>
    <row r="324" s="1" customFormat="1" spans="1:25">
      <c r="A324" s="2">
        <v>115056959</v>
      </c>
      <c r="B324" s="2"/>
      <c r="C324" s="2"/>
      <c r="D324" s="2"/>
      <c r="E324" s="2"/>
      <c r="F324" s="2"/>
      <c r="G324" s="2"/>
      <c r="H324" s="3"/>
      <c r="I324" s="2" t="e">
        <f t="shared" si="31"/>
        <v>#N/A</v>
      </c>
      <c r="J324" s="4" t="str">
        <f>IF(H324="","",IF(OR(AND(M324&lt;&gt;"",M324=IFERROR(INDEX($M$3:M323,MIN(IF(COUNTIF($M$3:M323,"0")=0,10^9,LOOKUP(2,1/($M$3:M323="0"),ROW($M$3:M323))),IF(COUNTIF($M$3:M323,"1")=0,10^9,LOOKUP(2,1/($M$3:M323="1"),ROW($M$3:M323))),IF(COUNTIF($M$3:M323,"2")=0,10^9,LOOKUP(2,1/($M$3:M323="2"),ROW($M$3:M323))),IF(COUNTIF($M$3:M323,"3")=0,10^9,LOOKUP(2,1/($M$3:M323="3"),ROW($M$3:M323))),IF(COUNTIF($M$3:M323,"4")=0,10^9,LOOKUP(2,1/($M$3:M323="4"),ROW($M$3:M323))),IF(COUNTIF($M$3:M323,"5")=0,10^9,LOOKUP(2,1/($M$3:M323="5"),ROW($M$3:M323))),IF(COUNTIF($M$3:M323,"6")=0,10^9,LOOKUP(2,1/($M$3:M323="6"),ROW($M$3:M323))),IF(COUNTIF($M$3:M323,"7")=0,10^9,LOOKUP(2,1/($M$3:M323="7"),ROW($M$3:M323))),IF(COUNTIF($M$3:M323,"8")=0,10^9,LOOKUP(2,1/($M$3:M323="8"),ROW($M$3:M323))),IF(COUNTIF($M$3:M323,"9")=0,10^9,LOOKUP(2,1/($M$3:M323="9"),ROW($M$3:M323))))-ROW($M$3)+1),"")),AND(N324&lt;&gt;"",N324=IFERROR(INDEX($N$3:N323,MIN(IF(COUNTIF($N$3:N323,"鼠")=0,10^9,LOOKUP(2,1/($N$3:N323="鼠"),ROW($N$3:N323))),IF(COUNTIF($N$3:N323,"牛")=0,10^9,LOOKUP(2,1/($N$3:N323="牛"),ROW($N$3:N323))),IF(COUNTIF($N$3:N323,"虎")=0,10^9,LOOKUP(2,1/($N$3:N323="虎"),ROW($N$3:N323))),IF(COUNTIF($N$3:N323,"兔")=0,10^9,LOOKUP(2,1/($N$3:N323="兔"),ROW($N$3:N323))),IF(COUNTIF($N$3:N323,"龙")=0,10^9,LOOKUP(2,1/($N$3:N323="龙"),ROW($N$3:N323))),IF(COUNTIF($N$3:N323,"蛇")=0,10^9,LOOKUP(2,1/($N$3:N323="蛇"),ROW($N$3:N323))),IF(COUNTIF($N$3:N323,"马")=0,10^9,LOOKUP(2,1/($N$3:N323="马"),ROW($N$3:N323))),IF(COUNTIF($N$3:N323,"羊")=0,10^9,LOOKUP(2,1/($N$3:N323="羊"),ROW($N$3:N323))),IF(COUNTIF($N$3:N323,"猴")=0,10^9,LOOKUP(2,1/($N$3:N323="猴"),ROW($N$3:N323))),IF(COUNTIF($N$3:N323,"鸡")=0,10^9,LOOKUP(2,1/($N$3:N323="鸡"),ROW($N$3:N323))),IF(COUNTIF($N$3:N323,"狗")=0,10^9,LOOKUP(2,1/($N$3:N323="狗"),ROW($N$3:N323))),IF(COUNTIF($N$3:N323,"猪")=0,10^9,LOOKUP(2,1/($N$3:N323="猪"),ROW($N$3:N323))))-ROW($N$3)+1),""))),0,IF(ISNUMBER(J323),J323+1,1)))</f>
        <v/>
      </c>
      <c r="K324" s="5" t="e">
        <f t="shared" ref="K324:K387" si="36">IF(I324=R323,0,K323+1)</f>
        <v>#N/A</v>
      </c>
      <c r="M324" s="6" t="str">
        <f t="shared" si="32"/>
        <v/>
      </c>
      <c r="N324" s="2" t="e">
        <f t="shared" si="33"/>
        <v>#N/A</v>
      </c>
      <c r="O324" s="7" t="str">
        <f>IF(M324="","",IF(COUNTIF(M325:$M$1000,M324)&gt;0,"",M324))</f>
        <v/>
      </c>
      <c r="P324" s="8" t="e">
        <f>IF(N324="","",IF(COUNTIF(N325:$N$1000,N324)&gt;0,"",N324))</f>
        <v>#N/A</v>
      </c>
      <c r="Q324" s="21" t="e">
        <f t="shared" si="34"/>
        <v>#NUM!</v>
      </c>
      <c r="R324" s="22" t="e">
        <f t="shared" si="35"/>
        <v>#NUM!</v>
      </c>
      <c r="S324" s="11"/>
      <c r="T324" s="11"/>
      <c r="U324" s="11"/>
      <c r="W324" s="11"/>
      <c r="X324" s="2"/>
      <c r="Y324" s="2"/>
    </row>
    <row r="325" s="1" customFormat="1" spans="1:25">
      <c r="A325" s="2">
        <v>115056960</v>
      </c>
      <c r="B325" s="2"/>
      <c r="C325" s="2"/>
      <c r="D325" s="2"/>
      <c r="E325" s="2"/>
      <c r="F325" s="2"/>
      <c r="G325" s="2"/>
      <c r="H325" s="3"/>
      <c r="I325" s="2" t="e">
        <f t="shared" si="31"/>
        <v>#N/A</v>
      </c>
      <c r="J325" s="4" t="str">
        <f>IF(H325="","",IF(OR(AND(M325&lt;&gt;"",M325=IFERROR(INDEX($M$3:M324,MIN(IF(COUNTIF($M$3:M324,"0")=0,10^9,LOOKUP(2,1/($M$3:M324="0"),ROW($M$3:M324))),IF(COUNTIF($M$3:M324,"1")=0,10^9,LOOKUP(2,1/($M$3:M324="1"),ROW($M$3:M324))),IF(COUNTIF($M$3:M324,"2")=0,10^9,LOOKUP(2,1/($M$3:M324="2"),ROW($M$3:M324))),IF(COUNTIF($M$3:M324,"3")=0,10^9,LOOKUP(2,1/($M$3:M324="3"),ROW($M$3:M324))),IF(COUNTIF($M$3:M324,"4")=0,10^9,LOOKUP(2,1/($M$3:M324="4"),ROW($M$3:M324))),IF(COUNTIF($M$3:M324,"5")=0,10^9,LOOKUP(2,1/($M$3:M324="5"),ROW($M$3:M324))),IF(COUNTIF($M$3:M324,"6")=0,10^9,LOOKUP(2,1/($M$3:M324="6"),ROW($M$3:M324))),IF(COUNTIF($M$3:M324,"7")=0,10^9,LOOKUP(2,1/($M$3:M324="7"),ROW($M$3:M324))),IF(COUNTIF($M$3:M324,"8")=0,10^9,LOOKUP(2,1/($M$3:M324="8"),ROW($M$3:M324))),IF(COUNTIF($M$3:M324,"9")=0,10^9,LOOKUP(2,1/($M$3:M324="9"),ROW($M$3:M324))))-ROW($M$3)+1),"")),AND(N325&lt;&gt;"",N325=IFERROR(INDEX($N$3:N324,MIN(IF(COUNTIF($N$3:N324,"鼠")=0,10^9,LOOKUP(2,1/($N$3:N324="鼠"),ROW($N$3:N324))),IF(COUNTIF($N$3:N324,"牛")=0,10^9,LOOKUP(2,1/($N$3:N324="牛"),ROW($N$3:N324))),IF(COUNTIF($N$3:N324,"虎")=0,10^9,LOOKUP(2,1/($N$3:N324="虎"),ROW($N$3:N324))),IF(COUNTIF($N$3:N324,"兔")=0,10^9,LOOKUP(2,1/($N$3:N324="兔"),ROW($N$3:N324))),IF(COUNTIF($N$3:N324,"龙")=0,10^9,LOOKUP(2,1/($N$3:N324="龙"),ROW($N$3:N324))),IF(COUNTIF($N$3:N324,"蛇")=0,10^9,LOOKUP(2,1/($N$3:N324="蛇"),ROW($N$3:N324))),IF(COUNTIF($N$3:N324,"马")=0,10^9,LOOKUP(2,1/($N$3:N324="马"),ROW($N$3:N324))),IF(COUNTIF($N$3:N324,"羊")=0,10^9,LOOKUP(2,1/($N$3:N324="羊"),ROW($N$3:N324))),IF(COUNTIF($N$3:N324,"猴")=0,10^9,LOOKUP(2,1/($N$3:N324="猴"),ROW($N$3:N324))),IF(COUNTIF($N$3:N324,"鸡")=0,10^9,LOOKUP(2,1/($N$3:N324="鸡"),ROW($N$3:N324))),IF(COUNTIF($N$3:N324,"狗")=0,10^9,LOOKUP(2,1/($N$3:N324="狗"),ROW($N$3:N324))),IF(COUNTIF($N$3:N324,"猪")=0,10^9,LOOKUP(2,1/($N$3:N324="猪"),ROW($N$3:N324))))-ROW($N$3)+1),""))),0,IF(ISNUMBER(J324),J324+1,1)))</f>
        <v/>
      </c>
      <c r="K325" s="5" t="e">
        <f t="shared" si="36"/>
        <v>#N/A</v>
      </c>
      <c r="M325" s="6" t="str">
        <f t="shared" si="32"/>
        <v/>
      </c>
      <c r="N325" s="2" t="e">
        <f t="shared" si="33"/>
        <v>#N/A</v>
      </c>
      <c r="O325" s="7" t="str">
        <f>IF(M325="","",IF(COUNTIF(M326:$M$1000,M325)&gt;0,"",M325))</f>
        <v/>
      </c>
      <c r="P325" s="8" t="e">
        <f>IF(N325="","",IF(COUNTIF(N326:$N$1000,N325)&gt;0,"",N325))</f>
        <v>#N/A</v>
      </c>
      <c r="Q325" s="21" t="e">
        <f t="shared" si="34"/>
        <v>#NUM!</v>
      </c>
      <c r="R325" s="22" t="e">
        <f t="shared" si="35"/>
        <v>#NUM!</v>
      </c>
      <c r="S325" s="11"/>
      <c r="T325" s="11"/>
      <c r="U325" s="11"/>
      <c r="W325" s="11"/>
      <c r="X325" s="2"/>
      <c r="Y325" s="2"/>
    </row>
    <row r="326" s="1" customFormat="1" spans="1:25">
      <c r="A326" s="2">
        <v>115056961</v>
      </c>
      <c r="B326" s="2"/>
      <c r="C326" s="2"/>
      <c r="D326" s="2"/>
      <c r="E326" s="2"/>
      <c r="F326" s="2"/>
      <c r="G326" s="2"/>
      <c r="H326" s="3"/>
      <c r="I326" s="2" t="e">
        <f t="shared" si="31"/>
        <v>#N/A</v>
      </c>
      <c r="J326" s="4" t="str">
        <f>IF(H326="","",IF(OR(AND(M326&lt;&gt;"",M326=IFERROR(INDEX($M$3:M325,MIN(IF(COUNTIF($M$3:M325,"0")=0,10^9,LOOKUP(2,1/($M$3:M325="0"),ROW($M$3:M325))),IF(COUNTIF($M$3:M325,"1")=0,10^9,LOOKUP(2,1/($M$3:M325="1"),ROW($M$3:M325))),IF(COUNTIF($M$3:M325,"2")=0,10^9,LOOKUP(2,1/($M$3:M325="2"),ROW($M$3:M325))),IF(COUNTIF($M$3:M325,"3")=0,10^9,LOOKUP(2,1/($M$3:M325="3"),ROW($M$3:M325))),IF(COUNTIF($M$3:M325,"4")=0,10^9,LOOKUP(2,1/($M$3:M325="4"),ROW($M$3:M325))),IF(COUNTIF($M$3:M325,"5")=0,10^9,LOOKUP(2,1/($M$3:M325="5"),ROW($M$3:M325))),IF(COUNTIF($M$3:M325,"6")=0,10^9,LOOKUP(2,1/($M$3:M325="6"),ROW($M$3:M325))),IF(COUNTIF($M$3:M325,"7")=0,10^9,LOOKUP(2,1/($M$3:M325="7"),ROW($M$3:M325))),IF(COUNTIF($M$3:M325,"8")=0,10^9,LOOKUP(2,1/($M$3:M325="8"),ROW($M$3:M325))),IF(COUNTIF($M$3:M325,"9")=0,10^9,LOOKUP(2,1/($M$3:M325="9"),ROW($M$3:M325))))-ROW($M$3)+1),"")),AND(N326&lt;&gt;"",N326=IFERROR(INDEX($N$3:N325,MIN(IF(COUNTIF($N$3:N325,"鼠")=0,10^9,LOOKUP(2,1/($N$3:N325="鼠"),ROW($N$3:N325))),IF(COUNTIF($N$3:N325,"牛")=0,10^9,LOOKUP(2,1/($N$3:N325="牛"),ROW($N$3:N325))),IF(COUNTIF($N$3:N325,"虎")=0,10^9,LOOKUP(2,1/($N$3:N325="虎"),ROW($N$3:N325))),IF(COUNTIF($N$3:N325,"兔")=0,10^9,LOOKUP(2,1/($N$3:N325="兔"),ROW($N$3:N325))),IF(COUNTIF($N$3:N325,"龙")=0,10^9,LOOKUP(2,1/($N$3:N325="龙"),ROW($N$3:N325))),IF(COUNTIF($N$3:N325,"蛇")=0,10^9,LOOKUP(2,1/($N$3:N325="蛇"),ROW($N$3:N325))),IF(COUNTIF($N$3:N325,"马")=0,10^9,LOOKUP(2,1/($N$3:N325="马"),ROW($N$3:N325))),IF(COUNTIF($N$3:N325,"羊")=0,10^9,LOOKUP(2,1/($N$3:N325="羊"),ROW($N$3:N325))),IF(COUNTIF($N$3:N325,"猴")=0,10^9,LOOKUP(2,1/($N$3:N325="猴"),ROW($N$3:N325))),IF(COUNTIF($N$3:N325,"鸡")=0,10^9,LOOKUP(2,1/($N$3:N325="鸡"),ROW($N$3:N325))),IF(COUNTIF($N$3:N325,"狗")=0,10^9,LOOKUP(2,1/($N$3:N325="狗"),ROW($N$3:N325))),IF(COUNTIF($N$3:N325,"猪")=0,10^9,LOOKUP(2,1/($N$3:N325="猪"),ROW($N$3:N325))))-ROW($N$3)+1),""))),0,IF(ISNUMBER(J325),J325+1,1)))</f>
        <v/>
      </c>
      <c r="K326" s="5" t="e">
        <f t="shared" si="36"/>
        <v>#N/A</v>
      </c>
      <c r="M326" s="6" t="str">
        <f t="shared" si="32"/>
        <v/>
      </c>
      <c r="N326" s="2" t="e">
        <f t="shared" si="33"/>
        <v>#N/A</v>
      </c>
      <c r="O326" s="7" t="str">
        <f>IF(M326="","",IF(COUNTIF(M327:$M$1000,M326)&gt;0,"",M326))</f>
        <v/>
      </c>
      <c r="P326" s="8" t="e">
        <f>IF(N326="","",IF(COUNTIF(N327:$N$1000,N326)&gt;0,"",N326))</f>
        <v>#N/A</v>
      </c>
      <c r="Q326" s="21" t="e">
        <f t="shared" si="34"/>
        <v>#NUM!</v>
      </c>
      <c r="R326" s="22" t="e">
        <f t="shared" si="35"/>
        <v>#NUM!</v>
      </c>
      <c r="S326" s="11"/>
      <c r="T326" s="11"/>
      <c r="U326" s="11"/>
      <c r="W326" s="11"/>
      <c r="X326" s="2"/>
      <c r="Y326" s="2"/>
    </row>
    <row r="327" s="1" customFormat="1" spans="1:25">
      <c r="A327" s="2">
        <v>115056962</v>
      </c>
      <c r="B327" s="2"/>
      <c r="C327" s="2"/>
      <c r="D327" s="2"/>
      <c r="E327" s="2"/>
      <c r="F327" s="2"/>
      <c r="G327" s="2"/>
      <c r="H327" s="3"/>
      <c r="I327" s="2" t="e">
        <f t="shared" si="31"/>
        <v>#N/A</v>
      </c>
      <c r="J327" s="4" t="str">
        <f>IF(H327="","",IF(OR(AND(M327&lt;&gt;"",M327=IFERROR(INDEX($M$3:M326,MIN(IF(COUNTIF($M$3:M326,"0")=0,10^9,LOOKUP(2,1/($M$3:M326="0"),ROW($M$3:M326))),IF(COUNTIF($M$3:M326,"1")=0,10^9,LOOKUP(2,1/($M$3:M326="1"),ROW($M$3:M326))),IF(COUNTIF($M$3:M326,"2")=0,10^9,LOOKUP(2,1/($M$3:M326="2"),ROW($M$3:M326))),IF(COUNTIF($M$3:M326,"3")=0,10^9,LOOKUP(2,1/($M$3:M326="3"),ROW($M$3:M326))),IF(COUNTIF($M$3:M326,"4")=0,10^9,LOOKUP(2,1/($M$3:M326="4"),ROW($M$3:M326))),IF(COUNTIF($M$3:M326,"5")=0,10^9,LOOKUP(2,1/($M$3:M326="5"),ROW($M$3:M326))),IF(COUNTIF($M$3:M326,"6")=0,10^9,LOOKUP(2,1/($M$3:M326="6"),ROW($M$3:M326))),IF(COUNTIF($M$3:M326,"7")=0,10^9,LOOKUP(2,1/($M$3:M326="7"),ROW($M$3:M326))),IF(COUNTIF($M$3:M326,"8")=0,10^9,LOOKUP(2,1/($M$3:M326="8"),ROW($M$3:M326))),IF(COUNTIF($M$3:M326,"9")=0,10^9,LOOKUP(2,1/($M$3:M326="9"),ROW($M$3:M326))))-ROW($M$3)+1),"")),AND(N327&lt;&gt;"",N327=IFERROR(INDEX($N$3:N326,MIN(IF(COUNTIF($N$3:N326,"鼠")=0,10^9,LOOKUP(2,1/($N$3:N326="鼠"),ROW($N$3:N326))),IF(COUNTIF($N$3:N326,"牛")=0,10^9,LOOKUP(2,1/($N$3:N326="牛"),ROW($N$3:N326))),IF(COUNTIF($N$3:N326,"虎")=0,10^9,LOOKUP(2,1/($N$3:N326="虎"),ROW($N$3:N326))),IF(COUNTIF($N$3:N326,"兔")=0,10^9,LOOKUP(2,1/($N$3:N326="兔"),ROW($N$3:N326))),IF(COUNTIF($N$3:N326,"龙")=0,10^9,LOOKUP(2,1/($N$3:N326="龙"),ROW($N$3:N326))),IF(COUNTIF($N$3:N326,"蛇")=0,10^9,LOOKUP(2,1/($N$3:N326="蛇"),ROW($N$3:N326))),IF(COUNTIF($N$3:N326,"马")=0,10^9,LOOKUP(2,1/($N$3:N326="马"),ROW($N$3:N326))),IF(COUNTIF($N$3:N326,"羊")=0,10^9,LOOKUP(2,1/($N$3:N326="羊"),ROW($N$3:N326))),IF(COUNTIF($N$3:N326,"猴")=0,10^9,LOOKUP(2,1/($N$3:N326="猴"),ROW($N$3:N326))),IF(COUNTIF($N$3:N326,"鸡")=0,10^9,LOOKUP(2,1/($N$3:N326="鸡"),ROW($N$3:N326))),IF(COUNTIF($N$3:N326,"狗")=0,10^9,LOOKUP(2,1/($N$3:N326="狗"),ROW($N$3:N326))),IF(COUNTIF($N$3:N326,"猪")=0,10^9,LOOKUP(2,1/($N$3:N326="猪"),ROW($N$3:N326))))-ROW($N$3)+1),""))),0,IF(ISNUMBER(J326),J326+1,1)))</f>
        <v/>
      </c>
      <c r="K327" s="5" t="e">
        <f t="shared" si="36"/>
        <v>#N/A</v>
      </c>
      <c r="M327" s="6" t="str">
        <f t="shared" si="32"/>
        <v/>
      </c>
      <c r="N327" s="2" t="e">
        <f t="shared" si="33"/>
        <v>#N/A</v>
      </c>
      <c r="O327" s="7" t="str">
        <f>IF(M327="","",IF(COUNTIF(M328:$M$1000,M327)&gt;0,"",M327))</f>
        <v/>
      </c>
      <c r="P327" s="8" t="e">
        <f>IF(N327="","",IF(COUNTIF(N328:$N$1000,N327)&gt;0,"",N327))</f>
        <v>#N/A</v>
      </c>
      <c r="Q327" s="21" t="e">
        <f t="shared" si="34"/>
        <v>#NUM!</v>
      </c>
      <c r="R327" s="22" t="e">
        <f t="shared" si="35"/>
        <v>#NUM!</v>
      </c>
      <c r="S327" s="11"/>
      <c r="T327" s="11"/>
      <c r="U327" s="11"/>
      <c r="W327" s="11"/>
      <c r="X327" s="2"/>
      <c r="Y327" s="2"/>
    </row>
    <row r="328" s="1" customFormat="1" spans="1:25">
      <c r="A328" s="2">
        <v>115056963</v>
      </c>
      <c r="B328" s="2"/>
      <c r="C328" s="2"/>
      <c r="D328" s="2"/>
      <c r="E328" s="2"/>
      <c r="F328" s="2"/>
      <c r="G328" s="2"/>
      <c r="H328" s="3"/>
      <c r="I328" s="2" t="e">
        <f t="shared" si="31"/>
        <v>#N/A</v>
      </c>
      <c r="J328" s="4" t="str">
        <f>IF(H328="","",IF(OR(AND(M328&lt;&gt;"",M328=IFERROR(INDEX($M$3:M327,MIN(IF(COUNTIF($M$3:M327,"0")=0,10^9,LOOKUP(2,1/($M$3:M327="0"),ROW($M$3:M327))),IF(COUNTIF($M$3:M327,"1")=0,10^9,LOOKUP(2,1/($M$3:M327="1"),ROW($M$3:M327))),IF(COUNTIF($M$3:M327,"2")=0,10^9,LOOKUP(2,1/($M$3:M327="2"),ROW($M$3:M327))),IF(COUNTIF($M$3:M327,"3")=0,10^9,LOOKUP(2,1/($M$3:M327="3"),ROW($M$3:M327))),IF(COUNTIF($M$3:M327,"4")=0,10^9,LOOKUP(2,1/($M$3:M327="4"),ROW($M$3:M327))),IF(COUNTIF($M$3:M327,"5")=0,10^9,LOOKUP(2,1/($M$3:M327="5"),ROW($M$3:M327))),IF(COUNTIF($M$3:M327,"6")=0,10^9,LOOKUP(2,1/($M$3:M327="6"),ROW($M$3:M327))),IF(COUNTIF($M$3:M327,"7")=0,10^9,LOOKUP(2,1/($M$3:M327="7"),ROW($M$3:M327))),IF(COUNTIF($M$3:M327,"8")=0,10^9,LOOKUP(2,1/($M$3:M327="8"),ROW($M$3:M327))),IF(COUNTIF($M$3:M327,"9")=0,10^9,LOOKUP(2,1/($M$3:M327="9"),ROW($M$3:M327))))-ROW($M$3)+1),"")),AND(N328&lt;&gt;"",N328=IFERROR(INDEX($N$3:N327,MIN(IF(COUNTIF($N$3:N327,"鼠")=0,10^9,LOOKUP(2,1/($N$3:N327="鼠"),ROW($N$3:N327))),IF(COUNTIF($N$3:N327,"牛")=0,10^9,LOOKUP(2,1/($N$3:N327="牛"),ROW($N$3:N327))),IF(COUNTIF($N$3:N327,"虎")=0,10^9,LOOKUP(2,1/($N$3:N327="虎"),ROW($N$3:N327))),IF(COUNTIF($N$3:N327,"兔")=0,10^9,LOOKUP(2,1/($N$3:N327="兔"),ROW($N$3:N327))),IF(COUNTIF($N$3:N327,"龙")=0,10^9,LOOKUP(2,1/($N$3:N327="龙"),ROW($N$3:N327))),IF(COUNTIF($N$3:N327,"蛇")=0,10^9,LOOKUP(2,1/($N$3:N327="蛇"),ROW($N$3:N327))),IF(COUNTIF($N$3:N327,"马")=0,10^9,LOOKUP(2,1/($N$3:N327="马"),ROW($N$3:N327))),IF(COUNTIF($N$3:N327,"羊")=0,10^9,LOOKUP(2,1/($N$3:N327="羊"),ROW($N$3:N327))),IF(COUNTIF($N$3:N327,"猴")=0,10^9,LOOKUP(2,1/($N$3:N327="猴"),ROW($N$3:N327))),IF(COUNTIF($N$3:N327,"鸡")=0,10^9,LOOKUP(2,1/($N$3:N327="鸡"),ROW($N$3:N327))),IF(COUNTIF($N$3:N327,"狗")=0,10^9,LOOKUP(2,1/($N$3:N327="狗"),ROW($N$3:N327))),IF(COUNTIF($N$3:N327,"猪")=0,10^9,LOOKUP(2,1/($N$3:N327="猪"),ROW($N$3:N327))))-ROW($N$3)+1),""))),0,IF(ISNUMBER(J327),J327+1,1)))</f>
        <v/>
      </c>
      <c r="K328" s="5" t="e">
        <f t="shared" si="36"/>
        <v>#N/A</v>
      </c>
      <c r="M328" s="6" t="str">
        <f t="shared" si="32"/>
        <v/>
      </c>
      <c r="N328" s="2" t="e">
        <f t="shared" si="33"/>
        <v>#N/A</v>
      </c>
      <c r="O328" s="7" t="str">
        <f>IF(M328="","",IF(COUNTIF(M329:$M$1000,M328)&gt;0,"",M328))</f>
        <v/>
      </c>
      <c r="P328" s="8" t="e">
        <f>IF(N328="","",IF(COUNTIF(N329:$N$1000,N328)&gt;0,"",N328))</f>
        <v>#N/A</v>
      </c>
      <c r="Q328" s="21" t="e">
        <f t="shared" si="34"/>
        <v>#NUM!</v>
      </c>
      <c r="R328" s="22" t="e">
        <f t="shared" si="35"/>
        <v>#NUM!</v>
      </c>
      <c r="S328" s="11"/>
      <c r="T328" s="11"/>
      <c r="U328" s="11"/>
      <c r="W328" s="11"/>
      <c r="X328" s="2"/>
      <c r="Y328" s="2"/>
    </row>
    <row r="329" s="1" customFormat="1" spans="1:25">
      <c r="A329" s="2">
        <v>115056964</v>
      </c>
      <c r="B329" s="2"/>
      <c r="C329" s="2"/>
      <c r="D329" s="2"/>
      <c r="E329" s="2"/>
      <c r="F329" s="2"/>
      <c r="G329" s="2"/>
      <c r="H329" s="3"/>
      <c r="I329" s="2" t="e">
        <f t="shared" si="31"/>
        <v>#N/A</v>
      </c>
      <c r="J329" s="4" t="str">
        <f>IF(H329="","",IF(OR(AND(M329&lt;&gt;"",M329=IFERROR(INDEX($M$3:M328,MIN(IF(COUNTIF($M$3:M328,"0")=0,10^9,LOOKUP(2,1/($M$3:M328="0"),ROW($M$3:M328))),IF(COUNTIF($M$3:M328,"1")=0,10^9,LOOKUP(2,1/($M$3:M328="1"),ROW($M$3:M328))),IF(COUNTIF($M$3:M328,"2")=0,10^9,LOOKUP(2,1/($M$3:M328="2"),ROW($M$3:M328))),IF(COUNTIF($M$3:M328,"3")=0,10^9,LOOKUP(2,1/($M$3:M328="3"),ROW($M$3:M328))),IF(COUNTIF($M$3:M328,"4")=0,10^9,LOOKUP(2,1/($M$3:M328="4"),ROW($M$3:M328))),IF(COUNTIF($M$3:M328,"5")=0,10^9,LOOKUP(2,1/($M$3:M328="5"),ROW($M$3:M328))),IF(COUNTIF($M$3:M328,"6")=0,10^9,LOOKUP(2,1/($M$3:M328="6"),ROW($M$3:M328))),IF(COUNTIF($M$3:M328,"7")=0,10^9,LOOKUP(2,1/($M$3:M328="7"),ROW($M$3:M328))),IF(COUNTIF($M$3:M328,"8")=0,10^9,LOOKUP(2,1/($M$3:M328="8"),ROW($M$3:M328))),IF(COUNTIF($M$3:M328,"9")=0,10^9,LOOKUP(2,1/($M$3:M328="9"),ROW($M$3:M328))))-ROW($M$3)+1),"")),AND(N329&lt;&gt;"",N329=IFERROR(INDEX($N$3:N328,MIN(IF(COUNTIF($N$3:N328,"鼠")=0,10^9,LOOKUP(2,1/($N$3:N328="鼠"),ROW($N$3:N328))),IF(COUNTIF($N$3:N328,"牛")=0,10^9,LOOKUP(2,1/($N$3:N328="牛"),ROW($N$3:N328))),IF(COUNTIF($N$3:N328,"虎")=0,10^9,LOOKUP(2,1/($N$3:N328="虎"),ROW($N$3:N328))),IF(COUNTIF($N$3:N328,"兔")=0,10^9,LOOKUP(2,1/($N$3:N328="兔"),ROW($N$3:N328))),IF(COUNTIF($N$3:N328,"龙")=0,10^9,LOOKUP(2,1/($N$3:N328="龙"),ROW($N$3:N328))),IF(COUNTIF($N$3:N328,"蛇")=0,10^9,LOOKUP(2,1/($N$3:N328="蛇"),ROW($N$3:N328))),IF(COUNTIF($N$3:N328,"马")=0,10^9,LOOKUP(2,1/($N$3:N328="马"),ROW($N$3:N328))),IF(COUNTIF($N$3:N328,"羊")=0,10^9,LOOKUP(2,1/($N$3:N328="羊"),ROW($N$3:N328))),IF(COUNTIF($N$3:N328,"猴")=0,10^9,LOOKUP(2,1/($N$3:N328="猴"),ROW($N$3:N328))),IF(COUNTIF($N$3:N328,"鸡")=0,10^9,LOOKUP(2,1/($N$3:N328="鸡"),ROW($N$3:N328))),IF(COUNTIF($N$3:N328,"狗")=0,10^9,LOOKUP(2,1/($N$3:N328="狗"),ROW($N$3:N328))),IF(COUNTIF($N$3:N328,"猪")=0,10^9,LOOKUP(2,1/($N$3:N328="猪"),ROW($N$3:N328))))-ROW($N$3)+1),""))),0,IF(ISNUMBER(J328),J328+1,1)))</f>
        <v/>
      </c>
      <c r="K329" s="5" t="e">
        <f t="shared" si="36"/>
        <v>#N/A</v>
      </c>
      <c r="M329" s="6" t="str">
        <f t="shared" si="32"/>
        <v/>
      </c>
      <c r="N329" s="2" t="e">
        <f t="shared" si="33"/>
        <v>#N/A</v>
      </c>
      <c r="O329" s="7" t="str">
        <f>IF(M329="","",IF(COUNTIF(M330:$M$1000,M329)&gt;0,"",M329))</f>
        <v/>
      </c>
      <c r="P329" s="8" t="e">
        <f>IF(N329="","",IF(COUNTIF(N330:$N$1000,N329)&gt;0,"",N329))</f>
        <v>#N/A</v>
      </c>
      <c r="Q329" s="21" t="e">
        <f t="shared" si="34"/>
        <v>#NUM!</v>
      </c>
      <c r="R329" s="22" t="e">
        <f t="shared" si="35"/>
        <v>#NUM!</v>
      </c>
      <c r="S329" s="11"/>
      <c r="T329" s="11"/>
      <c r="U329" s="11"/>
      <c r="W329" s="11"/>
      <c r="X329" s="2"/>
      <c r="Y329" s="2"/>
    </row>
    <row r="330" s="1" customFormat="1" spans="1:25">
      <c r="A330" s="2">
        <v>115056965</v>
      </c>
      <c r="B330" s="2"/>
      <c r="C330" s="2"/>
      <c r="D330" s="2"/>
      <c r="E330" s="2"/>
      <c r="F330" s="2"/>
      <c r="G330" s="2"/>
      <c r="H330" s="3"/>
      <c r="I330" s="2" t="e">
        <f t="shared" si="31"/>
        <v>#N/A</v>
      </c>
      <c r="J330" s="4" t="str">
        <f>IF(H330="","",IF(OR(AND(M330&lt;&gt;"",M330=IFERROR(INDEX($M$3:M329,MIN(IF(COUNTIF($M$3:M329,"0")=0,10^9,LOOKUP(2,1/($M$3:M329="0"),ROW($M$3:M329))),IF(COUNTIF($M$3:M329,"1")=0,10^9,LOOKUP(2,1/($M$3:M329="1"),ROW($M$3:M329))),IF(COUNTIF($M$3:M329,"2")=0,10^9,LOOKUP(2,1/($M$3:M329="2"),ROW($M$3:M329))),IF(COUNTIF($M$3:M329,"3")=0,10^9,LOOKUP(2,1/($M$3:M329="3"),ROW($M$3:M329))),IF(COUNTIF($M$3:M329,"4")=0,10^9,LOOKUP(2,1/($M$3:M329="4"),ROW($M$3:M329))),IF(COUNTIF($M$3:M329,"5")=0,10^9,LOOKUP(2,1/($M$3:M329="5"),ROW($M$3:M329))),IF(COUNTIF($M$3:M329,"6")=0,10^9,LOOKUP(2,1/($M$3:M329="6"),ROW($M$3:M329))),IF(COUNTIF($M$3:M329,"7")=0,10^9,LOOKUP(2,1/($M$3:M329="7"),ROW($M$3:M329))),IF(COUNTIF($M$3:M329,"8")=0,10^9,LOOKUP(2,1/($M$3:M329="8"),ROW($M$3:M329))),IF(COUNTIF($M$3:M329,"9")=0,10^9,LOOKUP(2,1/($M$3:M329="9"),ROW($M$3:M329))))-ROW($M$3)+1),"")),AND(N330&lt;&gt;"",N330=IFERROR(INDEX($N$3:N329,MIN(IF(COUNTIF($N$3:N329,"鼠")=0,10^9,LOOKUP(2,1/($N$3:N329="鼠"),ROW($N$3:N329))),IF(COUNTIF($N$3:N329,"牛")=0,10^9,LOOKUP(2,1/($N$3:N329="牛"),ROW($N$3:N329))),IF(COUNTIF($N$3:N329,"虎")=0,10^9,LOOKUP(2,1/($N$3:N329="虎"),ROW($N$3:N329))),IF(COUNTIF($N$3:N329,"兔")=0,10^9,LOOKUP(2,1/($N$3:N329="兔"),ROW($N$3:N329))),IF(COUNTIF($N$3:N329,"龙")=0,10^9,LOOKUP(2,1/($N$3:N329="龙"),ROW($N$3:N329))),IF(COUNTIF($N$3:N329,"蛇")=0,10^9,LOOKUP(2,1/($N$3:N329="蛇"),ROW($N$3:N329))),IF(COUNTIF($N$3:N329,"马")=0,10^9,LOOKUP(2,1/($N$3:N329="马"),ROW($N$3:N329))),IF(COUNTIF($N$3:N329,"羊")=0,10^9,LOOKUP(2,1/($N$3:N329="羊"),ROW($N$3:N329))),IF(COUNTIF($N$3:N329,"猴")=0,10^9,LOOKUP(2,1/($N$3:N329="猴"),ROW($N$3:N329))),IF(COUNTIF($N$3:N329,"鸡")=0,10^9,LOOKUP(2,1/($N$3:N329="鸡"),ROW($N$3:N329))),IF(COUNTIF($N$3:N329,"狗")=0,10^9,LOOKUP(2,1/($N$3:N329="狗"),ROW($N$3:N329))),IF(COUNTIF($N$3:N329,"猪")=0,10^9,LOOKUP(2,1/($N$3:N329="猪"),ROW($N$3:N329))))-ROW($N$3)+1),""))),0,IF(ISNUMBER(J329),J329+1,1)))</f>
        <v/>
      </c>
      <c r="K330" s="5" t="e">
        <f t="shared" si="36"/>
        <v>#N/A</v>
      </c>
      <c r="M330" s="6" t="str">
        <f t="shared" si="32"/>
        <v/>
      </c>
      <c r="N330" s="2" t="e">
        <f t="shared" si="33"/>
        <v>#N/A</v>
      </c>
      <c r="O330" s="7" t="str">
        <f>IF(M330="","",IF(COUNTIF(M331:$M$1000,M330)&gt;0,"",M330))</f>
        <v/>
      </c>
      <c r="P330" s="8" t="e">
        <f>IF(N330="","",IF(COUNTIF(N331:$N$1000,N330)&gt;0,"",N330))</f>
        <v>#N/A</v>
      </c>
      <c r="Q330" s="21" t="e">
        <f t="shared" si="34"/>
        <v>#NUM!</v>
      </c>
      <c r="R330" s="22" t="e">
        <f t="shared" si="35"/>
        <v>#NUM!</v>
      </c>
      <c r="S330" s="11"/>
      <c r="T330" s="11"/>
      <c r="U330" s="11"/>
      <c r="W330" s="11"/>
      <c r="X330" s="2"/>
      <c r="Y330" s="2"/>
    </row>
    <row r="331" s="1" customFormat="1" spans="1:25">
      <c r="A331" s="2">
        <v>115056966</v>
      </c>
      <c r="B331" s="2"/>
      <c r="C331" s="2"/>
      <c r="D331" s="2"/>
      <c r="E331" s="2"/>
      <c r="F331" s="2"/>
      <c r="G331" s="2"/>
      <c r="H331" s="3"/>
      <c r="I331" s="2" t="e">
        <f t="shared" si="31"/>
        <v>#N/A</v>
      </c>
      <c r="J331" s="4" t="str">
        <f>IF(H331="","",IF(OR(AND(M331&lt;&gt;"",M331=IFERROR(INDEX($M$3:M330,MIN(IF(COUNTIF($M$3:M330,"0")=0,10^9,LOOKUP(2,1/($M$3:M330="0"),ROW($M$3:M330))),IF(COUNTIF($M$3:M330,"1")=0,10^9,LOOKUP(2,1/($M$3:M330="1"),ROW($M$3:M330))),IF(COUNTIF($M$3:M330,"2")=0,10^9,LOOKUP(2,1/($M$3:M330="2"),ROW($M$3:M330))),IF(COUNTIF($M$3:M330,"3")=0,10^9,LOOKUP(2,1/($M$3:M330="3"),ROW($M$3:M330))),IF(COUNTIF($M$3:M330,"4")=0,10^9,LOOKUP(2,1/($M$3:M330="4"),ROW($M$3:M330))),IF(COUNTIF($M$3:M330,"5")=0,10^9,LOOKUP(2,1/($M$3:M330="5"),ROW($M$3:M330))),IF(COUNTIF($M$3:M330,"6")=0,10^9,LOOKUP(2,1/($M$3:M330="6"),ROW($M$3:M330))),IF(COUNTIF($M$3:M330,"7")=0,10^9,LOOKUP(2,1/($M$3:M330="7"),ROW($M$3:M330))),IF(COUNTIF($M$3:M330,"8")=0,10^9,LOOKUP(2,1/($M$3:M330="8"),ROW($M$3:M330))),IF(COUNTIF($M$3:M330,"9")=0,10^9,LOOKUP(2,1/($M$3:M330="9"),ROW($M$3:M330))))-ROW($M$3)+1),"")),AND(N331&lt;&gt;"",N331=IFERROR(INDEX($N$3:N330,MIN(IF(COUNTIF($N$3:N330,"鼠")=0,10^9,LOOKUP(2,1/($N$3:N330="鼠"),ROW($N$3:N330))),IF(COUNTIF($N$3:N330,"牛")=0,10^9,LOOKUP(2,1/($N$3:N330="牛"),ROW($N$3:N330))),IF(COUNTIF($N$3:N330,"虎")=0,10^9,LOOKUP(2,1/($N$3:N330="虎"),ROW($N$3:N330))),IF(COUNTIF($N$3:N330,"兔")=0,10^9,LOOKUP(2,1/($N$3:N330="兔"),ROW($N$3:N330))),IF(COUNTIF($N$3:N330,"龙")=0,10^9,LOOKUP(2,1/($N$3:N330="龙"),ROW($N$3:N330))),IF(COUNTIF($N$3:N330,"蛇")=0,10^9,LOOKUP(2,1/($N$3:N330="蛇"),ROW($N$3:N330))),IF(COUNTIF($N$3:N330,"马")=0,10^9,LOOKUP(2,1/($N$3:N330="马"),ROW($N$3:N330))),IF(COUNTIF($N$3:N330,"羊")=0,10^9,LOOKUP(2,1/($N$3:N330="羊"),ROW($N$3:N330))),IF(COUNTIF($N$3:N330,"猴")=0,10^9,LOOKUP(2,1/($N$3:N330="猴"),ROW($N$3:N330))),IF(COUNTIF($N$3:N330,"鸡")=0,10^9,LOOKUP(2,1/($N$3:N330="鸡"),ROW($N$3:N330))),IF(COUNTIF($N$3:N330,"狗")=0,10^9,LOOKUP(2,1/($N$3:N330="狗"),ROW($N$3:N330))),IF(COUNTIF($N$3:N330,"猪")=0,10^9,LOOKUP(2,1/($N$3:N330="猪"),ROW($N$3:N330))))-ROW($N$3)+1),""))),0,IF(ISNUMBER(J330),J330+1,1)))</f>
        <v/>
      </c>
      <c r="K331" s="5" t="e">
        <f t="shared" si="36"/>
        <v>#N/A</v>
      </c>
      <c r="M331" s="6" t="str">
        <f t="shared" si="32"/>
        <v/>
      </c>
      <c r="N331" s="2" t="e">
        <f t="shared" si="33"/>
        <v>#N/A</v>
      </c>
      <c r="O331" s="7" t="str">
        <f>IF(M331="","",IF(COUNTIF(M332:$M$1000,M331)&gt;0,"",M331))</f>
        <v/>
      </c>
      <c r="P331" s="8" t="e">
        <f>IF(N331="","",IF(COUNTIF(N332:$N$1000,N331)&gt;0,"",N331))</f>
        <v>#N/A</v>
      </c>
      <c r="Q331" s="21" t="e">
        <f t="shared" si="34"/>
        <v>#NUM!</v>
      </c>
      <c r="R331" s="22" t="e">
        <f t="shared" si="35"/>
        <v>#NUM!</v>
      </c>
      <c r="S331" s="11"/>
      <c r="T331" s="11"/>
      <c r="U331" s="11"/>
      <c r="W331" s="11"/>
      <c r="X331" s="2"/>
      <c r="Y331" s="2"/>
    </row>
    <row r="332" s="1" customFormat="1" spans="1:25">
      <c r="A332" s="2">
        <v>115056967</v>
      </c>
      <c r="B332" s="2"/>
      <c r="C332" s="2"/>
      <c r="D332" s="2"/>
      <c r="E332" s="2"/>
      <c r="F332" s="2"/>
      <c r="G332" s="2"/>
      <c r="H332" s="3"/>
      <c r="I332" s="2" t="e">
        <f t="shared" si="31"/>
        <v>#N/A</v>
      </c>
      <c r="J332" s="4" t="str">
        <f>IF(H332="","",IF(OR(AND(M332&lt;&gt;"",M332=IFERROR(INDEX($M$3:M331,MIN(IF(COUNTIF($M$3:M331,"0")=0,10^9,LOOKUP(2,1/($M$3:M331="0"),ROW($M$3:M331))),IF(COUNTIF($M$3:M331,"1")=0,10^9,LOOKUP(2,1/($M$3:M331="1"),ROW($M$3:M331))),IF(COUNTIF($M$3:M331,"2")=0,10^9,LOOKUP(2,1/($M$3:M331="2"),ROW($M$3:M331))),IF(COUNTIF($M$3:M331,"3")=0,10^9,LOOKUP(2,1/($M$3:M331="3"),ROW($M$3:M331))),IF(COUNTIF($M$3:M331,"4")=0,10^9,LOOKUP(2,1/($M$3:M331="4"),ROW($M$3:M331))),IF(COUNTIF($M$3:M331,"5")=0,10^9,LOOKUP(2,1/($M$3:M331="5"),ROW($M$3:M331))),IF(COUNTIF($M$3:M331,"6")=0,10^9,LOOKUP(2,1/($M$3:M331="6"),ROW($M$3:M331))),IF(COUNTIF($M$3:M331,"7")=0,10^9,LOOKUP(2,1/($M$3:M331="7"),ROW($M$3:M331))),IF(COUNTIF($M$3:M331,"8")=0,10^9,LOOKUP(2,1/($M$3:M331="8"),ROW($M$3:M331))),IF(COUNTIF($M$3:M331,"9")=0,10^9,LOOKUP(2,1/($M$3:M331="9"),ROW($M$3:M331))))-ROW($M$3)+1),"")),AND(N332&lt;&gt;"",N332=IFERROR(INDEX($N$3:N331,MIN(IF(COUNTIF($N$3:N331,"鼠")=0,10^9,LOOKUP(2,1/($N$3:N331="鼠"),ROW($N$3:N331))),IF(COUNTIF($N$3:N331,"牛")=0,10^9,LOOKUP(2,1/($N$3:N331="牛"),ROW($N$3:N331))),IF(COUNTIF($N$3:N331,"虎")=0,10^9,LOOKUP(2,1/($N$3:N331="虎"),ROW($N$3:N331))),IF(COUNTIF($N$3:N331,"兔")=0,10^9,LOOKUP(2,1/($N$3:N331="兔"),ROW($N$3:N331))),IF(COUNTIF($N$3:N331,"龙")=0,10^9,LOOKUP(2,1/($N$3:N331="龙"),ROW($N$3:N331))),IF(COUNTIF($N$3:N331,"蛇")=0,10^9,LOOKUP(2,1/($N$3:N331="蛇"),ROW($N$3:N331))),IF(COUNTIF($N$3:N331,"马")=0,10^9,LOOKUP(2,1/($N$3:N331="马"),ROW($N$3:N331))),IF(COUNTIF($N$3:N331,"羊")=0,10^9,LOOKUP(2,1/($N$3:N331="羊"),ROW($N$3:N331))),IF(COUNTIF($N$3:N331,"猴")=0,10^9,LOOKUP(2,1/($N$3:N331="猴"),ROW($N$3:N331))),IF(COUNTIF($N$3:N331,"鸡")=0,10^9,LOOKUP(2,1/($N$3:N331="鸡"),ROW($N$3:N331))),IF(COUNTIF($N$3:N331,"狗")=0,10^9,LOOKUP(2,1/($N$3:N331="狗"),ROW($N$3:N331))),IF(COUNTIF($N$3:N331,"猪")=0,10^9,LOOKUP(2,1/($N$3:N331="猪"),ROW($N$3:N331))))-ROW($N$3)+1),""))),0,IF(ISNUMBER(J331),J331+1,1)))</f>
        <v/>
      </c>
      <c r="K332" s="5" t="e">
        <f t="shared" si="36"/>
        <v>#N/A</v>
      </c>
      <c r="M332" s="6" t="str">
        <f t="shared" si="32"/>
        <v/>
      </c>
      <c r="N332" s="2" t="e">
        <f t="shared" si="33"/>
        <v>#N/A</v>
      </c>
      <c r="O332" s="7" t="str">
        <f>IF(M332="","",IF(COUNTIF(M333:$M$1000,M332)&gt;0,"",M332))</f>
        <v/>
      </c>
      <c r="P332" s="8" t="e">
        <f>IF(N332="","",IF(COUNTIF(N333:$N$1000,N332)&gt;0,"",N332))</f>
        <v>#N/A</v>
      </c>
      <c r="Q332" s="21" t="e">
        <f t="shared" si="34"/>
        <v>#NUM!</v>
      </c>
      <c r="R332" s="22" t="e">
        <f t="shared" si="35"/>
        <v>#NUM!</v>
      </c>
      <c r="S332" s="11"/>
      <c r="T332" s="11"/>
      <c r="U332" s="11"/>
      <c r="W332" s="11"/>
      <c r="X332" s="2"/>
      <c r="Y332" s="2"/>
    </row>
    <row r="333" s="1" customFormat="1" spans="1:25">
      <c r="A333" s="2">
        <v>115056968</v>
      </c>
      <c r="B333" s="2"/>
      <c r="C333" s="2"/>
      <c r="D333" s="2"/>
      <c r="E333" s="2"/>
      <c r="F333" s="2"/>
      <c r="G333" s="2"/>
      <c r="H333" s="3"/>
      <c r="I333" s="2" t="e">
        <f t="shared" si="31"/>
        <v>#N/A</v>
      </c>
      <c r="J333" s="4" t="str">
        <f>IF(H333="","",IF(OR(AND(M333&lt;&gt;"",M333=IFERROR(INDEX($M$3:M332,MIN(IF(COUNTIF($M$3:M332,"0")=0,10^9,LOOKUP(2,1/($M$3:M332="0"),ROW($M$3:M332))),IF(COUNTIF($M$3:M332,"1")=0,10^9,LOOKUP(2,1/($M$3:M332="1"),ROW($M$3:M332))),IF(COUNTIF($M$3:M332,"2")=0,10^9,LOOKUP(2,1/($M$3:M332="2"),ROW($M$3:M332))),IF(COUNTIF($M$3:M332,"3")=0,10^9,LOOKUP(2,1/($M$3:M332="3"),ROW($M$3:M332))),IF(COUNTIF($M$3:M332,"4")=0,10^9,LOOKUP(2,1/($M$3:M332="4"),ROW($M$3:M332))),IF(COUNTIF($M$3:M332,"5")=0,10^9,LOOKUP(2,1/($M$3:M332="5"),ROW($M$3:M332))),IF(COUNTIF($M$3:M332,"6")=0,10^9,LOOKUP(2,1/($M$3:M332="6"),ROW($M$3:M332))),IF(COUNTIF($M$3:M332,"7")=0,10^9,LOOKUP(2,1/($M$3:M332="7"),ROW($M$3:M332))),IF(COUNTIF($M$3:M332,"8")=0,10^9,LOOKUP(2,1/($M$3:M332="8"),ROW($M$3:M332))),IF(COUNTIF($M$3:M332,"9")=0,10^9,LOOKUP(2,1/($M$3:M332="9"),ROW($M$3:M332))))-ROW($M$3)+1),"")),AND(N333&lt;&gt;"",N333=IFERROR(INDEX($N$3:N332,MIN(IF(COUNTIF($N$3:N332,"鼠")=0,10^9,LOOKUP(2,1/($N$3:N332="鼠"),ROW($N$3:N332))),IF(COUNTIF($N$3:N332,"牛")=0,10^9,LOOKUP(2,1/($N$3:N332="牛"),ROW($N$3:N332))),IF(COUNTIF($N$3:N332,"虎")=0,10^9,LOOKUP(2,1/($N$3:N332="虎"),ROW($N$3:N332))),IF(COUNTIF($N$3:N332,"兔")=0,10^9,LOOKUP(2,1/($N$3:N332="兔"),ROW($N$3:N332))),IF(COUNTIF($N$3:N332,"龙")=0,10^9,LOOKUP(2,1/($N$3:N332="龙"),ROW($N$3:N332))),IF(COUNTIF($N$3:N332,"蛇")=0,10^9,LOOKUP(2,1/($N$3:N332="蛇"),ROW($N$3:N332))),IF(COUNTIF($N$3:N332,"马")=0,10^9,LOOKUP(2,1/($N$3:N332="马"),ROW($N$3:N332))),IF(COUNTIF($N$3:N332,"羊")=0,10^9,LOOKUP(2,1/($N$3:N332="羊"),ROW($N$3:N332))),IF(COUNTIF($N$3:N332,"猴")=0,10^9,LOOKUP(2,1/($N$3:N332="猴"),ROW($N$3:N332))),IF(COUNTIF($N$3:N332,"鸡")=0,10^9,LOOKUP(2,1/($N$3:N332="鸡"),ROW($N$3:N332))),IF(COUNTIF($N$3:N332,"狗")=0,10^9,LOOKUP(2,1/($N$3:N332="狗"),ROW($N$3:N332))),IF(COUNTIF($N$3:N332,"猪")=0,10^9,LOOKUP(2,1/($N$3:N332="猪"),ROW($N$3:N332))))-ROW($N$3)+1),""))),0,IF(ISNUMBER(J332),J332+1,1)))</f>
        <v/>
      </c>
      <c r="K333" s="5" t="e">
        <f t="shared" si="36"/>
        <v>#N/A</v>
      </c>
      <c r="M333" s="6" t="str">
        <f t="shared" si="32"/>
        <v/>
      </c>
      <c r="N333" s="2" t="e">
        <f t="shared" si="33"/>
        <v>#N/A</v>
      </c>
      <c r="O333" s="7" t="str">
        <f>IF(M333="","",IF(COUNTIF(M334:$M$1000,M333)&gt;0,"",M333))</f>
        <v/>
      </c>
      <c r="P333" s="8" t="e">
        <f>IF(N333="","",IF(COUNTIF(N334:$N$1000,N333)&gt;0,"",N333))</f>
        <v>#N/A</v>
      </c>
      <c r="Q333" s="21" t="e">
        <f t="shared" si="34"/>
        <v>#NUM!</v>
      </c>
      <c r="R333" s="22" t="e">
        <f t="shared" si="35"/>
        <v>#NUM!</v>
      </c>
      <c r="S333" s="11"/>
      <c r="T333" s="11"/>
      <c r="U333" s="11"/>
      <c r="W333" s="11"/>
      <c r="X333" s="2"/>
      <c r="Y333" s="2"/>
    </row>
    <row r="334" s="1" customFormat="1" spans="1:25">
      <c r="A334" s="2">
        <v>115056969</v>
      </c>
      <c r="B334" s="2"/>
      <c r="C334" s="2"/>
      <c r="D334" s="2"/>
      <c r="E334" s="2"/>
      <c r="F334" s="2"/>
      <c r="G334" s="2"/>
      <c r="H334" s="3"/>
      <c r="I334" s="2" t="e">
        <f t="shared" si="31"/>
        <v>#N/A</v>
      </c>
      <c r="J334" s="4" t="str">
        <f>IF(H334="","",IF(OR(AND(M334&lt;&gt;"",M334=IFERROR(INDEX($M$3:M333,MIN(IF(COUNTIF($M$3:M333,"0")=0,10^9,LOOKUP(2,1/($M$3:M333="0"),ROW($M$3:M333))),IF(COUNTIF($M$3:M333,"1")=0,10^9,LOOKUP(2,1/($M$3:M333="1"),ROW($M$3:M333))),IF(COUNTIF($M$3:M333,"2")=0,10^9,LOOKUP(2,1/($M$3:M333="2"),ROW($M$3:M333))),IF(COUNTIF($M$3:M333,"3")=0,10^9,LOOKUP(2,1/($M$3:M333="3"),ROW($M$3:M333))),IF(COUNTIF($M$3:M333,"4")=0,10^9,LOOKUP(2,1/($M$3:M333="4"),ROW($M$3:M333))),IF(COUNTIF($M$3:M333,"5")=0,10^9,LOOKUP(2,1/($M$3:M333="5"),ROW($M$3:M333))),IF(COUNTIF($M$3:M333,"6")=0,10^9,LOOKUP(2,1/($M$3:M333="6"),ROW($M$3:M333))),IF(COUNTIF($M$3:M333,"7")=0,10^9,LOOKUP(2,1/($M$3:M333="7"),ROW($M$3:M333))),IF(COUNTIF($M$3:M333,"8")=0,10^9,LOOKUP(2,1/($M$3:M333="8"),ROW($M$3:M333))),IF(COUNTIF($M$3:M333,"9")=0,10^9,LOOKUP(2,1/($M$3:M333="9"),ROW($M$3:M333))))-ROW($M$3)+1),"")),AND(N334&lt;&gt;"",N334=IFERROR(INDEX($N$3:N333,MIN(IF(COUNTIF($N$3:N333,"鼠")=0,10^9,LOOKUP(2,1/($N$3:N333="鼠"),ROW($N$3:N333))),IF(COUNTIF($N$3:N333,"牛")=0,10^9,LOOKUP(2,1/($N$3:N333="牛"),ROW($N$3:N333))),IF(COUNTIF($N$3:N333,"虎")=0,10^9,LOOKUP(2,1/($N$3:N333="虎"),ROW($N$3:N333))),IF(COUNTIF($N$3:N333,"兔")=0,10^9,LOOKUP(2,1/($N$3:N333="兔"),ROW($N$3:N333))),IF(COUNTIF($N$3:N333,"龙")=0,10^9,LOOKUP(2,1/($N$3:N333="龙"),ROW($N$3:N333))),IF(COUNTIF($N$3:N333,"蛇")=0,10^9,LOOKUP(2,1/($N$3:N333="蛇"),ROW($N$3:N333))),IF(COUNTIF($N$3:N333,"马")=0,10^9,LOOKUP(2,1/($N$3:N333="马"),ROW($N$3:N333))),IF(COUNTIF($N$3:N333,"羊")=0,10^9,LOOKUP(2,1/($N$3:N333="羊"),ROW($N$3:N333))),IF(COUNTIF($N$3:N333,"猴")=0,10^9,LOOKUP(2,1/($N$3:N333="猴"),ROW($N$3:N333))),IF(COUNTIF($N$3:N333,"鸡")=0,10^9,LOOKUP(2,1/($N$3:N333="鸡"),ROW($N$3:N333))),IF(COUNTIF($N$3:N333,"狗")=0,10^9,LOOKUP(2,1/($N$3:N333="狗"),ROW($N$3:N333))),IF(COUNTIF($N$3:N333,"猪")=0,10^9,LOOKUP(2,1/($N$3:N333="猪"),ROW($N$3:N333))))-ROW($N$3)+1),""))),0,IF(ISNUMBER(J333),J333+1,1)))</f>
        <v/>
      </c>
      <c r="K334" s="5" t="e">
        <f t="shared" si="36"/>
        <v>#N/A</v>
      </c>
      <c r="M334" s="6" t="str">
        <f t="shared" si="32"/>
        <v/>
      </c>
      <c r="N334" s="2" t="e">
        <f t="shared" si="33"/>
        <v>#N/A</v>
      </c>
      <c r="O334" s="7" t="str">
        <f>IF(M334="","",IF(COUNTIF(M335:$M$1000,M334)&gt;0,"",M334))</f>
        <v/>
      </c>
      <c r="P334" s="8" t="e">
        <f>IF(N334="","",IF(COUNTIF(N335:$N$1000,N334)&gt;0,"",N334))</f>
        <v>#N/A</v>
      </c>
      <c r="Q334" s="21" t="e">
        <f t="shared" si="34"/>
        <v>#NUM!</v>
      </c>
      <c r="R334" s="22" t="e">
        <f t="shared" si="35"/>
        <v>#NUM!</v>
      </c>
      <c r="S334" s="11"/>
      <c r="T334" s="11"/>
      <c r="U334" s="11"/>
      <c r="W334" s="11"/>
      <c r="X334" s="2"/>
      <c r="Y334" s="2"/>
    </row>
    <row r="335" s="1" customFormat="1" spans="1:25">
      <c r="A335" s="2">
        <v>115056970</v>
      </c>
      <c r="B335" s="2"/>
      <c r="C335" s="2"/>
      <c r="D335" s="2"/>
      <c r="E335" s="2"/>
      <c r="F335" s="2"/>
      <c r="G335" s="2"/>
      <c r="H335" s="3"/>
      <c r="I335" s="2" t="e">
        <f t="shared" si="31"/>
        <v>#N/A</v>
      </c>
      <c r="J335" s="4" t="str">
        <f>IF(H335="","",IF(OR(AND(M335&lt;&gt;"",M335=IFERROR(INDEX($M$3:M334,MIN(IF(COUNTIF($M$3:M334,"0")=0,10^9,LOOKUP(2,1/($M$3:M334="0"),ROW($M$3:M334))),IF(COUNTIF($M$3:M334,"1")=0,10^9,LOOKUP(2,1/($M$3:M334="1"),ROW($M$3:M334))),IF(COUNTIF($M$3:M334,"2")=0,10^9,LOOKUP(2,1/($M$3:M334="2"),ROW($M$3:M334))),IF(COUNTIF($M$3:M334,"3")=0,10^9,LOOKUP(2,1/($M$3:M334="3"),ROW($M$3:M334))),IF(COUNTIF($M$3:M334,"4")=0,10^9,LOOKUP(2,1/($M$3:M334="4"),ROW($M$3:M334))),IF(COUNTIF($M$3:M334,"5")=0,10^9,LOOKUP(2,1/($M$3:M334="5"),ROW($M$3:M334))),IF(COUNTIF($M$3:M334,"6")=0,10^9,LOOKUP(2,1/($M$3:M334="6"),ROW($M$3:M334))),IF(COUNTIF($M$3:M334,"7")=0,10^9,LOOKUP(2,1/($M$3:M334="7"),ROW($M$3:M334))),IF(COUNTIF($M$3:M334,"8")=0,10^9,LOOKUP(2,1/($M$3:M334="8"),ROW($M$3:M334))),IF(COUNTIF($M$3:M334,"9")=0,10^9,LOOKUP(2,1/($M$3:M334="9"),ROW($M$3:M334))))-ROW($M$3)+1),"")),AND(N335&lt;&gt;"",N335=IFERROR(INDEX($N$3:N334,MIN(IF(COUNTIF($N$3:N334,"鼠")=0,10^9,LOOKUP(2,1/($N$3:N334="鼠"),ROW($N$3:N334))),IF(COUNTIF($N$3:N334,"牛")=0,10^9,LOOKUP(2,1/($N$3:N334="牛"),ROW($N$3:N334))),IF(COUNTIF($N$3:N334,"虎")=0,10^9,LOOKUP(2,1/($N$3:N334="虎"),ROW($N$3:N334))),IF(COUNTIF($N$3:N334,"兔")=0,10^9,LOOKUP(2,1/($N$3:N334="兔"),ROW($N$3:N334))),IF(COUNTIF($N$3:N334,"龙")=0,10^9,LOOKUP(2,1/($N$3:N334="龙"),ROW($N$3:N334))),IF(COUNTIF($N$3:N334,"蛇")=0,10^9,LOOKUP(2,1/($N$3:N334="蛇"),ROW($N$3:N334))),IF(COUNTIF($N$3:N334,"马")=0,10^9,LOOKUP(2,1/($N$3:N334="马"),ROW($N$3:N334))),IF(COUNTIF($N$3:N334,"羊")=0,10^9,LOOKUP(2,1/($N$3:N334="羊"),ROW($N$3:N334))),IF(COUNTIF($N$3:N334,"猴")=0,10^9,LOOKUP(2,1/($N$3:N334="猴"),ROW($N$3:N334))),IF(COUNTIF($N$3:N334,"鸡")=0,10^9,LOOKUP(2,1/($N$3:N334="鸡"),ROW($N$3:N334))),IF(COUNTIF($N$3:N334,"狗")=0,10^9,LOOKUP(2,1/($N$3:N334="狗"),ROW($N$3:N334))),IF(COUNTIF($N$3:N334,"猪")=0,10^9,LOOKUP(2,1/($N$3:N334="猪"),ROW($N$3:N334))))-ROW($N$3)+1),""))),0,IF(ISNUMBER(J334),J334+1,1)))</f>
        <v/>
      </c>
      <c r="K335" s="5" t="e">
        <f t="shared" si="36"/>
        <v>#N/A</v>
      </c>
      <c r="M335" s="6" t="str">
        <f t="shared" si="32"/>
        <v/>
      </c>
      <c r="N335" s="2" t="e">
        <f t="shared" si="33"/>
        <v>#N/A</v>
      </c>
      <c r="O335" s="7" t="str">
        <f>IF(M335="","",IF(COUNTIF(M336:$M$1000,M335)&gt;0,"",M335))</f>
        <v/>
      </c>
      <c r="P335" s="8" t="e">
        <f>IF(N335="","",IF(COUNTIF(N336:$N$1000,N335)&gt;0,"",N335))</f>
        <v>#N/A</v>
      </c>
      <c r="Q335" s="21" t="e">
        <f t="shared" si="34"/>
        <v>#NUM!</v>
      </c>
      <c r="R335" s="22" t="e">
        <f t="shared" si="35"/>
        <v>#NUM!</v>
      </c>
      <c r="S335" s="11"/>
      <c r="T335" s="11"/>
      <c r="U335" s="11"/>
      <c r="W335" s="11"/>
      <c r="X335" s="2"/>
      <c r="Y335" s="2"/>
    </row>
    <row r="336" s="1" customFormat="1" spans="1:25">
      <c r="A336" s="2">
        <v>115056971</v>
      </c>
      <c r="B336" s="2"/>
      <c r="C336" s="2"/>
      <c r="D336" s="2"/>
      <c r="E336" s="2"/>
      <c r="F336" s="2"/>
      <c r="G336" s="2"/>
      <c r="H336" s="3"/>
      <c r="I336" s="2" t="e">
        <f t="shared" si="31"/>
        <v>#N/A</v>
      </c>
      <c r="J336" s="4" t="str">
        <f>IF(H336="","",IF(OR(AND(M336&lt;&gt;"",M336=IFERROR(INDEX($M$3:M335,MIN(IF(COUNTIF($M$3:M335,"0")=0,10^9,LOOKUP(2,1/($M$3:M335="0"),ROW($M$3:M335))),IF(COUNTIF($M$3:M335,"1")=0,10^9,LOOKUP(2,1/($M$3:M335="1"),ROW($M$3:M335))),IF(COUNTIF($M$3:M335,"2")=0,10^9,LOOKUP(2,1/($M$3:M335="2"),ROW($M$3:M335))),IF(COUNTIF($M$3:M335,"3")=0,10^9,LOOKUP(2,1/($M$3:M335="3"),ROW($M$3:M335))),IF(COUNTIF($M$3:M335,"4")=0,10^9,LOOKUP(2,1/($M$3:M335="4"),ROW($M$3:M335))),IF(COUNTIF($M$3:M335,"5")=0,10^9,LOOKUP(2,1/($M$3:M335="5"),ROW($M$3:M335))),IF(COUNTIF($M$3:M335,"6")=0,10^9,LOOKUP(2,1/($M$3:M335="6"),ROW($M$3:M335))),IF(COUNTIF($M$3:M335,"7")=0,10^9,LOOKUP(2,1/($M$3:M335="7"),ROW($M$3:M335))),IF(COUNTIF($M$3:M335,"8")=0,10^9,LOOKUP(2,1/($M$3:M335="8"),ROW($M$3:M335))),IF(COUNTIF($M$3:M335,"9")=0,10^9,LOOKUP(2,1/($M$3:M335="9"),ROW($M$3:M335))))-ROW($M$3)+1),"")),AND(N336&lt;&gt;"",N336=IFERROR(INDEX($N$3:N335,MIN(IF(COUNTIF($N$3:N335,"鼠")=0,10^9,LOOKUP(2,1/($N$3:N335="鼠"),ROW($N$3:N335))),IF(COUNTIF($N$3:N335,"牛")=0,10^9,LOOKUP(2,1/($N$3:N335="牛"),ROW($N$3:N335))),IF(COUNTIF($N$3:N335,"虎")=0,10^9,LOOKUP(2,1/($N$3:N335="虎"),ROW($N$3:N335))),IF(COUNTIF($N$3:N335,"兔")=0,10^9,LOOKUP(2,1/($N$3:N335="兔"),ROW($N$3:N335))),IF(COUNTIF($N$3:N335,"龙")=0,10^9,LOOKUP(2,1/($N$3:N335="龙"),ROW($N$3:N335))),IF(COUNTIF($N$3:N335,"蛇")=0,10^9,LOOKUP(2,1/($N$3:N335="蛇"),ROW($N$3:N335))),IF(COUNTIF($N$3:N335,"马")=0,10^9,LOOKUP(2,1/($N$3:N335="马"),ROW($N$3:N335))),IF(COUNTIF($N$3:N335,"羊")=0,10^9,LOOKUP(2,1/($N$3:N335="羊"),ROW($N$3:N335))),IF(COUNTIF($N$3:N335,"猴")=0,10^9,LOOKUP(2,1/($N$3:N335="猴"),ROW($N$3:N335))),IF(COUNTIF($N$3:N335,"鸡")=0,10^9,LOOKUP(2,1/($N$3:N335="鸡"),ROW($N$3:N335))),IF(COUNTIF($N$3:N335,"狗")=0,10^9,LOOKUP(2,1/($N$3:N335="狗"),ROW($N$3:N335))),IF(COUNTIF($N$3:N335,"猪")=0,10^9,LOOKUP(2,1/($N$3:N335="猪"),ROW($N$3:N335))))-ROW($N$3)+1),""))),0,IF(ISNUMBER(J335),J335+1,1)))</f>
        <v/>
      </c>
      <c r="K336" s="5" t="e">
        <f t="shared" si="36"/>
        <v>#N/A</v>
      </c>
      <c r="M336" s="6" t="str">
        <f t="shared" si="32"/>
        <v/>
      </c>
      <c r="N336" s="2" t="e">
        <f t="shared" si="33"/>
        <v>#N/A</v>
      </c>
      <c r="O336" s="7" t="str">
        <f>IF(M336="","",IF(COUNTIF(M337:$M$1000,M336)&gt;0,"",M336))</f>
        <v/>
      </c>
      <c r="P336" s="8" t="e">
        <f>IF(N336="","",IF(COUNTIF(N337:$N$1000,N336)&gt;0,"",N336))</f>
        <v>#N/A</v>
      </c>
      <c r="Q336" s="21" t="e">
        <f t="shared" si="34"/>
        <v>#NUM!</v>
      </c>
      <c r="R336" s="22" t="e">
        <f t="shared" si="35"/>
        <v>#NUM!</v>
      </c>
      <c r="S336" s="11"/>
      <c r="T336" s="11"/>
      <c r="U336" s="11"/>
      <c r="W336" s="11"/>
      <c r="X336" s="2"/>
      <c r="Y336" s="2"/>
    </row>
    <row r="337" s="1" customFormat="1" spans="1:25">
      <c r="A337" s="2">
        <v>115056972</v>
      </c>
      <c r="B337" s="2"/>
      <c r="C337" s="2"/>
      <c r="D337" s="2"/>
      <c r="E337" s="2"/>
      <c r="F337" s="2"/>
      <c r="G337" s="2"/>
      <c r="H337" s="3"/>
      <c r="I337" s="2" t="e">
        <f t="shared" si="31"/>
        <v>#N/A</v>
      </c>
      <c r="J337" s="4" t="str">
        <f>IF(H337="","",IF(OR(AND(M337&lt;&gt;"",M337=IFERROR(INDEX($M$3:M336,MIN(IF(COUNTIF($M$3:M336,"0")=0,10^9,LOOKUP(2,1/($M$3:M336="0"),ROW($M$3:M336))),IF(COUNTIF($M$3:M336,"1")=0,10^9,LOOKUP(2,1/($M$3:M336="1"),ROW($M$3:M336))),IF(COUNTIF($M$3:M336,"2")=0,10^9,LOOKUP(2,1/($M$3:M336="2"),ROW($M$3:M336))),IF(COUNTIF($M$3:M336,"3")=0,10^9,LOOKUP(2,1/($M$3:M336="3"),ROW($M$3:M336))),IF(COUNTIF($M$3:M336,"4")=0,10^9,LOOKUP(2,1/($M$3:M336="4"),ROW($M$3:M336))),IF(COUNTIF($M$3:M336,"5")=0,10^9,LOOKUP(2,1/($M$3:M336="5"),ROW($M$3:M336))),IF(COUNTIF($M$3:M336,"6")=0,10^9,LOOKUP(2,1/($M$3:M336="6"),ROW($M$3:M336))),IF(COUNTIF($M$3:M336,"7")=0,10^9,LOOKUP(2,1/($M$3:M336="7"),ROW($M$3:M336))),IF(COUNTIF($M$3:M336,"8")=0,10^9,LOOKUP(2,1/($M$3:M336="8"),ROW($M$3:M336))),IF(COUNTIF($M$3:M336,"9")=0,10^9,LOOKUP(2,1/($M$3:M336="9"),ROW($M$3:M336))))-ROW($M$3)+1),"")),AND(N337&lt;&gt;"",N337=IFERROR(INDEX($N$3:N336,MIN(IF(COUNTIF($N$3:N336,"鼠")=0,10^9,LOOKUP(2,1/($N$3:N336="鼠"),ROW($N$3:N336))),IF(COUNTIF($N$3:N336,"牛")=0,10^9,LOOKUP(2,1/($N$3:N336="牛"),ROW($N$3:N336))),IF(COUNTIF($N$3:N336,"虎")=0,10^9,LOOKUP(2,1/($N$3:N336="虎"),ROW($N$3:N336))),IF(COUNTIF($N$3:N336,"兔")=0,10^9,LOOKUP(2,1/($N$3:N336="兔"),ROW($N$3:N336))),IF(COUNTIF($N$3:N336,"龙")=0,10^9,LOOKUP(2,1/($N$3:N336="龙"),ROW($N$3:N336))),IF(COUNTIF($N$3:N336,"蛇")=0,10^9,LOOKUP(2,1/($N$3:N336="蛇"),ROW($N$3:N336))),IF(COUNTIF($N$3:N336,"马")=0,10^9,LOOKUP(2,1/($N$3:N336="马"),ROW($N$3:N336))),IF(COUNTIF($N$3:N336,"羊")=0,10^9,LOOKUP(2,1/($N$3:N336="羊"),ROW($N$3:N336))),IF(COUNTIF($N$3:N336,"猴")=0,10^9,LOOKUP(2,1/($N$3:N336="猴"),ROW($N$3:N336))),IF(COUNTIF($N$3:N336,"鸡")=0,10^9,LOOKUP(2,1/($N$3:N336="鸡"),ROW($N$3:N336))),IF(COUNTIF($N$3:N336,"狗")=0,10^9,LOOKUP(2,1/($N$3:N336="狗"),ROW($N$3:N336))),IF(COUNTIF($N$3:N336,"猪")=0,10^9,LOOKUP(2,1/($N$3:N336="猪"),ROW($N$3:N336))))-ROW($N$3)+1),""))),0,IF(ISNUMBER(J336),J336+1,1)))</f>
        <v/>
      </c>
      <c r="K337" s="5" t="e">
        <f t="shared" si="36"/>
        <v>#N/A</v>
      </c>
      <c r="M337" s="6" t="str">
        <f t="shared" si="32"/>
        <v/>
      </c>
      <c r="N337" s="2" t="e">
        <f t="shared" si="33"/>
        <v>#N/A</v>
      </c>
      <c r="O337" s="7" t="str">
        <f>IF(M337="","",IF(COUNTIF(M338:$M$1000,M337)&gt;0,"",M337))</f>
        <v/>
      </c>
      <c r="P337" s="8" t="e">
        <f>IF(N337="","",IF(COUNTIF(N338:$N$1000,N337)&gt;0,"",N337))</f>
        <v>#N/A</v>
      </c>
      <c r="Q337" s="21" t="e">
        <f t="shared" si="34"/>
        <v>#NUM!</v>
      </c>
      <c r="R337" s="22" t="e">
        <f t="shared" si="35"/>
        <v>#NUM!</v>
      </c>
      <c r="S337" s="11"/>
      <c r="T337" s="11"/>
      <c r="U337" s="11"/>
      <c r="W337" s="11"/>
      <c r="X337" s="2"/>
      <c r="Y337" s="2"/>
    </row>
    <row r="338" s="1" customFormat="1" spans="1:25">
      <c r="A338" s="2">
        <v>115056973</v>
      </c>
      <c r="B338" s="2"/>
      <c r="C338" s="2"/>
      <c r="D338" s="2"/>
      <c r="E338" s="2"/>
      <c r="F338" s="2"/>
      <c r="G338" s="2"/>
      <c r="H338" s="3"/>
      <c r="I338" s="2" t="e">
        <f t="shared" si="31"/>
        <v>#N/A</v>
      </c>
      <c r="J338" s="4" t="str">
        <f>IF(H338="","",IF(OR(AND(M338&lt;&gt;"",M338=IFERROR(INDEX($M$3:M337,MIN(IF(COUNTIF($M$3:M337,"0")=0,10^9,LOOKUP(2,1/($M$3:M337="0"),ROW($M$3:M337))),IF(COUNTIF($M$3:M337,"1")=0,10^9,LOOKUP(2,1/($M$3:M337="1"),ROW($M$3:M337))),IF(COUNTIF($M$3:M337,"2")=0,10^9,LOOKUP(2,1/($M$3:M337="2"),ROW($M$3:M337))),IF(COUNTIF($M$3:M337,"3")=0,10^9,LOOKUP(2,1/($M$3:M337="3"),ROW($M$3:M337))),IF(COUNTIF($M$3:M337,"4")=0,10^9,LOOKUP(2,1/($M$3:M337="4"),ROW($M$3:M337))),IF(COUNTIF($M$3:M337,"5")=0,10^9,LOOKUP(2,1/($M$3:M337="5"),ROW($M$3:M337))),IF(COUNTIF($M$3:M337,"6")=0,10^9,LOOKUP(2,1/($M$3:M337="6"),ROW($M$3:M337))),IF(COUNTIF($M$3:M337,"7")=0,10^9,LOOKUP(2,1/($M$3:M337="7"),ROW($M$3:M337))),IF(COUNTIF($M$3:M337,"8")=0,10^9,LOOKUP(2,1/($M$3:M337="8"),ROW($M$3:M337))),IF(COUNTIF($M$3:M337,"9")=0,10^9,LOOKUP(2,1/($M$3:M337="9"),ROW($M$3:M337))))-ROW($M$3)+1),"")),AND(N338&lt;&gt;"",N338=IFERROR(INDEX($N$3:N337,MIN(IF(COUNTIF($N$3:N337,"鼠")=0,10^9,LOOKUP(2,1/($N$3:N337="鼠"),ROW($N$3:N337))),IF(COUNTIF($N$3:N337,"牛")=0,10^9,LOOKUP(2,1/($N$3:N337="牛"),ROW($N$3:N337))),IF(COUNTIF($N$3:N337,"虎")=0,10^9,LOOKUP(2,1/($N$3:N337="虎"),ROW($N$3:N337))),IF(COUNTIF($N$3:N337,"兔")=0,10^9,LOOKUP(2,1/($N$3:N337="兔"),ROW($N$3:N337))),IF(COUNTIF($N$3:N337,"龙")=0,10^9,LOOKUP(2,1/($N$3:N337="龙"),ROW($N$3:N337))),IF(COUNTIF($N$3:N337,"蛇")=0,10^9,LOOKUP(2,1/($N$3:N337="蛇"),ROW($N$3:N337))),IF(COUNTIF($N$3:N337,"马")=0,10^9,LOOKUP(2,1/($N$3:N337="马"),ROW($N$3:N337))),IF(COUNTIF($N$3:N337,"羊")=0,10^9,LOOKUP(2,1/($N$3:N337="羊"),ROW($N$3:N337))),IF(COUNTIF($N$3:N337,"猴")=0,10^9,LOOKUP(2,1/($N$3:N337="猴"),ROW($N$3:N337))),IF(COUNTIF($N$3:N337,"鸡")=0,10^9,LOOKUP(2,1/($N$3:N337="鸡"),ROW($N$3:N337))),IF(COUNTIF($N$3:N337,"狗")=0,10^9,LOOKUP(2,1/($N$3:N337="狗"),ROW($N$3:N337))),IF(COUNTIF($N$3:N337,"猪")=0,10^9,LOOKUP(2,1/($N$3:N337="猪"),ROW($N$3:N337))))-ROW($N$3)+1),""))),0,IF(ISNUMBER(J337),J337+1,1)))</f>
        <v/>
      </c>
      <c r="K338" s="5" t="e">
        <f t="shared" si="36"/>
        <v>#N/A</v>
      </c>
      <c r="M338" s="6" t="str">
        <f t="shared" si="32"/>
        <v/>
      </c>
      <c r="N338" s="2" t="e">
        <f t="shared" si="33"/>
        <v>#N/A</v>
      </c>
      <c r="O338" s="7" t="str">
        <f>IF(M338="","",IF(COUNTIF(M339:$M$1000,M338)&gt;0,"",M338))</f>
        <v/>
      </c>
      <c r="P338" s="8" t="e">
        <f>IF(N338="","",IF(COUNTIF(N339:$N$1000,N338)&gt;0,"",N338))</f>
        <v>#N/A</v>
      </c>
      <c r="Q338" s="21" t="e">
        <f t="shared" si="34"/>
        <v>#NUM!</v>
      </c>
      <c r="R338" s="22" t="e">
        <f t="shared" si="35"/>
        <v>#NUM!</v>
      </c>
      <c r="S338" s="11"/>
      <c r="T338" s="11"/>
      <c r="U338" s="11"/>
      <c r="W338" s="11"/>
      <c r="X338" s="2"/>
      <c r="Y338" s="2"/>
    </row>
    <row r="339" s="1" customFormat="1" spans="1:25">
      <c r="A339" s="2">
        <v>115056974</v>
      </c>
      <c r="B339" s="2"/>
      <c r="C339" s="2"/>
      <c r="D339" s="2"/>
      <c r="E339" s="2"/>
      <c r="F339" s="2"/>
      <c r="G339" s="2"/>
      <c r="H339" s="3"/>
      <c r="I339" s="2" t="e">
        <f t="shared" si="31"/>
        <v>#N/A</v>
      </c>
      <c r="J339" s="4" t="str">
        <f>IF(H339="","",IF(OR(AND(M339&lt;&gt;"",M339=IFERROR(INDEX($M$3:M338,MIN(IF(COUNTIF($M$3:M338,"0")=0,10^9,LOOKUP(2,1/($M$3:M338="0"),ROW($M$3:M338))),IF(COUNTIF($M$3:M338,"1")=0,10^9,LOOKUP(2,1/($M$3:M338="1"),ROW($M$3:M338))),IF(COUNTIF($M$3:M338,"2")=0,10^9,LOOKUP(2,1/($M$3:M338="2"),ROW($M$3:M338))),IF(COUNTIF($M$3:M338,"3")=0,10^9,LOOKUP(2,1/($M$3:M338="3"),ROW($M$3:M338))),IF(COUNTIF($M$3:M338,"4")=0,10^9,LOOKUP(2,1/($M$3:M338="4"),ROW($M$3:M338))),IF(COUNTIF($M$3:M338,"5")=0,10^9,LOOKUP(2,1/($M$3:M338="5"),ROW($M$3:M338))),IF(COUNTIF($M$3:M338,"6")=0,10^9,LOOKUP(2,1/($M$3:M338="6"),ROW($M$3:M338))),IF(COUNTIF($M$3:M338,"7")=0,10^9,LOOKUP(2,1/($M$3:M338="7"),ROW($M$3:M338))),IF(COUNTIF($M$3:M338,"8")=0,10^9,LOOKUP(2,1/($M$3:M338="8"),ROW($M$3:M338))),IF(COUNTIF($M$3:M338,"9")=0,10^9,LOOKUP(2,1/($M$3:M338="9"),ROW($M$3:M338))))-ROW($M$3)+1),"")),AND(N339&lt;&gt;"",N339=IFERROR(INDEX($N$3:N338,MIN(IF(COUNTIF($N$3:N338,"鼠")=0,10^9,LOOKUP(2,1/($N$3:N338="鼠"),ROW($N$3:N338))),IF(COUNTIF($N$3:N338,"牛")=0,10^9,LOOKUP(2,1/($N$3:N338="牛"),ROW($N$3:N338))),IF(COUNTIF($N$3:N338,"虎")=0,10^9,LOOKUP(2,1/($N$3:N338="虎"),ROW($N$3:N338))),IF(COUNTIF($N$3:N338,"兔")=0,10^9,LOOKUP(2,1/($N$3:N338="兔"),ROW($N$3:N338))),IF(COUNTIF($N$3:N338,"龙")=0,10^9,LOOKUP(2,1/($N$3:N338="龙"),ROW($N$3:N338))),IF(COUNTIF($N$3:N338,"蛇")=0,10^9,LOOKUP(2,1/($N$3:N338="蛇"),ROW($N$3:N338))),IF(COUNTIF($N$3:N338,"马")=0,10^9,LOOKUP(2,1/($N$3:N338="马"),ROW($N$3:N338))),IF(COUNTIF($N$3:N338,"羊")=0,10^9,LOOKUP(2,1/($N$3:N338="羊"),ROW($N$3:N338))),IF(COUNTIF($N$3:N338,"猴")=0,10^9,LOOKUP(2,1/($N$3:N338="猴"),ROW($N$3:N338))),IF(COUNTIF($N$3:N338,"鸡")=0,10^9,LOOKUP(2,1/($N$3:N338="鸡"),ROW($N$3:N338))),IF(COUNTIF($N$3:N338,"狗")=0,10^9,LOOKUP(2,1/($N$3:N338="狗"),ROW($N$3:N338))),IF(COUNTIF($N$3:N338,"猪")=0,10^9,LOOKUP(2,1/($N$3:N338="猪"),ROW($N$3:N338))))-ROW($N$3)+1),""))),0,IF(ISNUMBER(J338),J338+1,1)))</f>
        <v/>
      </c>
      <c r="K339" s="5" t="e">
        <f t="shared" si="36"/>
        <v>#N/A</v>
      </c>
      <c r="M339" s="6" t="str">
        <f t="shared" si="32"/>
        <v/>
      </c>
      <c r="N339" s="2" t="e">
        <f t="shared" si="33"/>
        <v>#N/A</v>
      </c>
      <c r="O339" s="7" t="str">
        <f>IF(M339="","",IF(COUNTIF(M340:$M$1000,M339)&gt;0,"",M339))</f>
        <v/>
      </c>
      <c r="P339" s="8" t="e">
        <f>IF(N339="","",IF(COUNTIF(N340:$N$1000,N339)&gt;0,"",N339))</f>
        <v>#N/A</v>
      </c>
      <c r="Q339" s="21" t="e">
        <f t="shared" si="34"/>
        <v>#NUM!</v>
      </c>
      <c r="R339" s="22" t="e">
        <f t="shared" si="35"/>
        <v>#NUM!</v>
      </c>
      <c r="S339" s="11"/>
      <c r="T339" s="11"/>
      <c r="U339" s="11"/>
      <c r="W339" s="11"/>
      <c r="X339" s="2"/>
      <c r="Y339" s="2"/>
    </row>
    <row r="340" s="1" customFormat="1" spans="1:25">
      <c r="A340" s="2">
        <v>115056975</v>
      </c>
      <c r="B340" s="2"/>
      <c r="C340" s="2"/>
      <c r="D340" s="2"/>
      <c r="E340" s="2"/>
      <c r="F340" s="2"/>
      <c r="G340" s="2"/>
      <c r="H340" s="3"/>
      <c r="I340" s="2" t="e">
        <f t="shared" si="31"/>
        <v>#N/A</v>
      </c>
      <c r="J340" s="4" t="str">
        <f>IF(H340="","",IF(OR(AND(M340&lt;&gt;"",M340=IFERROR(INDEX($M$3:M339,MIN(IF(COUNTIF($M$3:M339,"0")=0,10^9,LOOKUP(2,1/($M$3:M339="0"),ROW($M$3:M339))),IF(COUNTIF($M$3:M339,"1")=0,10^9,LOOKUP(2,1/($M$3:M339="1"),ROW($M$3:M339))),IF(COUNTIF($M$3:M339,"2")=0,10^9,LOOKUP(2,1/($M$3:M339="2"),ROW($M$3:M339))),IF(COUNTIF($M$3:M339,"3")=0,10^9,LOOKUP(2,1/($M$3:M339="3"),ROW($M$3:M339))),IF(COUNTIF($M$3:M339,"4")=0,10^9,LOOKUP(2,1/($M$3:M339="4"),ROW($M$3:M339))),IF(COUNTIF($M$3:M339,"5")=0,10^9,LOOKUP(2,1/($M$3:M339="5"),ROW($M$3:M339))),IF(COUNTIF($M$3:M339,"6")=0,10^9,LOOKUP(2,1/($M$3:M339="6"),ROW($M$3:M339))),IF(COUNTIF($M$3:M339,"7")=0,10^9,LOOKUP(2,1/($M$3:M339="7"),ROW($M$3:M339))),IF(COUNTIF($M$3:M339,"8")=0,10^9,LOOKUP(2,1/($M$3:M339="8"),ROW($M$3:M339))),IF(COUNTIF($M$3:M339,"9")=0,10^9,LOOKUP(2,1/($M$3:M339="9"),ROW($M$3:M339))))-ROW($M$3)+1),"")),AND(N340&lt;&gt;"",N340=IFERROR(INDEX($N$3:N339,MIN(IF(COUNTIF($N$3:N339,"鼠")=0,10^9,LOOKUP(2,1/($N$3:N339="鼠"),ROW($N$3:N339))),IF(COUNTIF($N$3:N339,"牛")=0,10^9,LOOKUP(2,1/($N$3:N339="牛"),ROW($N$3:N339))),IF(COUNTIF($N$3:N339,"虎")=0,10^9,LOOKUP(2,1/($N$3:N339="虎"),ROW($N$3:N339))),IF(COUNTIF($N$3:N339,"兔")=0,10^9,LOOKUP(2,1/($N$3:N339="兔"),ROW($N$3:N339))),IF(COUNTIF($N$3:N339,"龙")=0,10^9,LOOKUP(2,1/($N$3:N339="龙"),ROW($N$3:N339))),IF(COUNTIF($N$3:N339,"蛇")=0,10^9,LOOKUP(2,1/($N$3:N339="蛇"),ROW($N$3:N339))),IF(COUNTIF($N$3:N339,"马")=0,10^9,LOOKUP(2,1/($N$3:N339="马"),ROW($N$3:N339))),IF(COUNTIF($N$3:N339,"羊")=0,10^9,LOOKUP(2,1/($N$3:N339="羊"),ROW($N$3:N339))),IF(COUNTIF($N$3:N339,"猴")=0,10^9,LOOKUP(2,1/($N$3:N339="猴"),ROW($N$3:N339))),IF(COUNTIF($N$3:N339,"鸡")=0,10^9,LOOKUP(2,1/($N$3:N339="鸡"),ROW($N$3:N339))),IF(COUNTIF($N$3:N339,"狗")=0,10^9,LOOKUP(2,1/($N$3:N339="狗"),ROW($N$3:N339))),IF(COUNTIF($N$3:N339,"猪")=0,10^9,LOOKUP(2,1/($N$3:N339="猪"),ROW($N$3:N339))))-ROW($N$3)+1),""))),0,IF(ISNUMBER(J339),J339+1,1)))</f>
        <v/>
      </c>
      <c r="K340" s="5" t="e">
        <f t="shared" si="36"/>
        <v>#N/A</v>
      </c>
      <c r="M340" s="6" t="str">
        <f t="shared" si="32"/>
        <v/>
      </c>
      <c r="N340" s="2" t="e">
        <f t="shared" si="33"/>
        <v>#N/A</v>
      </c>
      <c r="O340" s="7" t="str">
        <f>IF(M340="","",IF(COUNTIF(M341:$M$1000,M340)&gt;0,"",M340))</f>
        <v/>
      </c>
      <c r="P340" s="8" t="e">
        <f>IF(N340="","",IF(COUNTIF(N341:$N$1000,N340)&gt;0,"",N340))</f>
        <v>#N/A</v>
      </c>
      <c r="Q340" s="21" t="e">
        <f t="shared" si="34"/>
        <v>#NUM!</v>
      </c>
      <c r="R340" s="22" t="e">
        <f t="shared" si="35"/>
        <v>#NUM!</v>
      </c>
      <c r="S340" s="11"/>
      <c r="T340" s="11"/>
      <c r="U340" s="11"/>
      <c r="W340" s="11"/>
      <c r="X340" s="2"/>
      <c r="Y340" s="2"/>
    </row>
    <row r="341" s="1" customFormat="1" spans="1:25">
      <c r="A341" s="2">
        <v>115056976</v>
      </c>
      <c r="B341" s="2"/>
      <c r="C341" s="2"/>
      <c r="D341" s="2"/>
      <c r="E341" s="2"/>
      <c r="F341" s="2"/>
      <c r="G341" s="2"/>
      <c r="H341" s="3"/>
      <c r="I341" s="2" t="e">
        <f t="shared" si="31"/>
        <v>#N/A</v>
      </c>
      <c r="J341" s="4" t="str">
        <f>IF(H341="","",IF(OR(AND(M341&lt;&gt;"",M341=IFERROR(INDEX($M$3:M340,MIN(IF(COUNTIF($M$3:M340,"0")=0,10^9,LOOKUP(2,1/($M$3:M340="0"),ROW($M$3:M340))),IF(COUNTIF($M$3:M340,"1")=0,10^9,LOOKUP(2,1/($M$3:M340="1"),ROW($M$3:M340))),IF(COUNTIF($M$3:M340,"2")=0,10^9,LOOKUP(2,1/($M$3:M340="2"),ROW($M$3:M340))),IF(COUNTIF($M$3:M340,"3")=0,10^9,LOOKUP(2,1/($M$3:M340="3"),ROW($M$3:M340))),IF(COUNTIF($M$3:M340,"4")=0,10^9,LOOKUP(2,1/($M$3:M340="4"),ROW($M$3:M340))),IF(COUNTIF($M$3:M340,"5")=0,10^9,LOOKUP(2,1/($M$3:M340="5"),ROW($M$3:M340))),IF(COUNTIF($M$3:M340,"6")=0,10^9,LOOKUP(2,1/($M$3:M340="6"),ROW($M$3:M340))),IF(COUNTIF($M$3:M340,"7")=0,10^9,LOOKUP(2,1/($M$3:M340="7"),ROW($M$3:M340))),IF(COUNTIF($M$3:M340,"8")=0,10^9,LOOKUP(2,1/($M$3:M340="8"),ROW($M$3:M340))),IF(COUNTIF($M$3:M340,"9")=0,10^9,LOOKUP(2,1/($M$3:M340="9"),ROW($M$3:M340))))-ROW($M$3)+1),"")),AND(N341&lt;&gt;"",N341=IFERROR(INDEX($N$3:N340,MIN(IF(COUNTIF($N$3:N340,"鼠")=0,10^9,LOOKUP(2,1/($N$3:N340="鼠"),ROW($N$3:N340))),IF(COUNTIF($N$3:N340,"牛")=0,10^9,LOOKUP(2,1/($N$3:N340="牛"),ROW($N$3:N340))),IF(COUNTIF($N$3:N340,"虎")=0,10^9,LOOKUP(2,1/($N$3:N340="虎"),ROW($N$3:N340))),IF(COUNTIF($N$3:N340,"兔")=0,10^9,LOOKUP(2,1/($N$3:N340="兔"),ROW($N$3:N340))),IF(COUNTIF($N$3:N340,"龙")=0,10^9,LOOKUP(2,1/($N$3:N340="龙"),ROW($N$3:N340))),IF(COUNTIF($N$3:N340,"蛇")=0,10^9,LOOKUP(2,1/($N$3:N340="蛇"),ROW($N$3:N340))),IF(COUNTIF($N$3:N340,"马")=0,10^9,LOOKUP(2,1/($N$3:N340="马"),ROW($N$3:N340))),IF(COUNTIF($N$3:N340,"羊")=0,10^9,LOOKUP(2,1/($N$3:N340="羊"),ROW($N$3:N340))),IF(COUNTIF($N$3:N340,"猴")=0,10^9,LOOKUP(2,1/($N$3:N340="猴"),ROW($N$3:N340))),IF(COUNTIF($N$3:N340,"鸡")=0,10^9,LOOKUP(2,1/($N$3:N340="鸡"),ROW($N$3:N340))),IF(COUNTIF($N$3:N340,"狗")=0,10^9,LOOKUP(2,1/($N$3:N340="狗"),ROW($N$3:N340))),IF(COUNTIF($N$3:N340,"猪")=0,10^9,LOOKUP(2,1/($N$3:N340="猪"),ROW($N$3:N340))))-ROW($N$3)+1),""))),0,IF(ISNUMBER(J340),J340+1,1)))</f>
        <v/>
      </c>
      <c r="K341" s="5" t="e">
        <f t="shared" si="36"/>
        <v>#N/A</v>
      </c>
      <c r="M341" s="6" t="str">
        <f t="shared" si="32"/>
        <v/>
      </c>
      <c r="N341" s="2" t="e">
        <f t="shared" si="33"/>
        <v>#N/A</v>
      </c>
      <c r="O341" s="7" t="str">
        <f>IF(M341="","",IF(COUNTIF(M342:$M$1000,M341)&gt;0,"",M341))</f>
        <v/>
      </c>
      <c r="P341" s="8" t="e">
        <f>IF(N341="","",IF(COUNTIF(N342:$N$1000,N341)&gt;0,"",N341))</f>
        <v>#N/A</v>
      </c>
      <c r="Q341" s="21" t="e">
        <f t="shared" si="34"/>
        <v>#NUM!</v>
      </c>
      <c r="R341" s="22" t="e">
        <f t="shared" si="35"/>
        <v>#NUM!</v>
      </c>
      <c r="S341" s="11"/>
      <c r="T341" s="11"/>
      <c r="U341" s="11"/>
      <c r="W341" s="11"/>
      <c r="X341" s="2"/>
      <c r="Y341" s="2"/>
    </row>
    <row r="342" s="1" customFormat="1" spans="1:25">
      <c r="A342" s="2">
        <v>115056977</v>
      </c>
      <c r="B342" s="2"/>
      <c r="C342" s="2"/>
      <c r="D342" s="2"/>
      <c r="E342" s="2"/>
      <c r="F342" s="2"/>
      <c r="G342" s="2"/>
      <c r="H342" s="3"/>
      <c r="I342" s="2" t="e">
        <f t="shared" si="31"/>
        <v>#N/A</v>
      </c>
      <c r="J342" s="4" t="str">
        <f>IF(H342="","",IF(OR(AND(M342&lt;&gt;"",M342=IFERROR(INDEX($M$3:M341,MIN(IF(COUNTIF($M$3:M341,"0")=0,10^9,LOOKUP(2,1/($M$3:M341="0"),ROW($M$3:M341))),IF(COUNTIF($M$3:M341,"1")=0,10^9,LOOKUP(2,1/($M$3:M341="1"),ROW($M$3:M341))),IF(COUNTIF($M$3:M341,"2")=0,10^9,LOOKUP(2,1/($M$3:M341="2"),ROW($M$3:M341))),IF(COUNTIF($M$3:M341,"3")=0,10^9,LOOKUP(2,1/($M$3:M341="3"),ROW($M$3:M341))),IF(COUNTIF($M$3:M341,"4")=0,10^9,LOOKUP(2,1/($M$3:M341="4"),ROW($M$3:M341))),IF(COUNTIF($M$3:M341,"5")=0,10^9,LOOKUP(2,1/($M$3:M341="5"),ROW($M$3:M341))),IF(COUNTIF($M$3:M341,"6")=0,10^9,LOOKUP(2,1/($M$3:M341="6"),ROW($M$3:M341))),IF(COUNTIF($M$3:M341,"7")=0,10^9,LOOKUP(2,1/($M$3:M341="7"),ROW($M$3:M341))),IF(COUNTIF($M$3:M341,"8")=0,10^9,LOOKUP(2,1/($M$3:M341="8"),ROW($M$3:M341))),IF(COUNTIF($M$3:M341,"9")=0,10^9,LOOKUP(2,1/($M$3:M341="9"),ROW($M$3:M341))))-ROW($M$3)+1),"")),AND(N342&lt;&gt;"",N342=IFERROR(INDEX($N$3:N341,MIN(IF(COUNTIF($N$3:N341,"鼠")=0,10^9,LOOKUP(2,1/($N$3:N341="鼠"),ROW($N$3:N341))),IF(COUNTIF($N$3:N341,"牛")=0,10^9,LOOKUP(2,1/($N$3:N341="牛"),ROW($N$3:N341))),IF(COUNTIF($N$3:N341,"虎")=0,10^9,LOOKUP(2,1/($N$3:N341="虎"),ROW($N$3:N341))),IF(COUNTIF($N$3:N341,"兔")=0,10^9,LOOKUP(2,1/($N$3:N341="兔"),ROW($N$3:N341))),IF(COUNTIF($N$3:N341,"龙")=0,10^9,LOOKUP(2,1/($N$3:N341="龙"),ROW($N$3:N341))),IF(COUNTIF($N$3:N341,"蛇")=0,10^9,LOOKUP(2,1/($N$3:N341="蛇"),ROW($N$3:N341))),IF(COUNTIF($N$3:N341,"马")=0,10^9,LOOKUP(2,1/($N$3:N341="马"),ROW($N$3:N341))),IF(COUNTIF($N$3:N341,"羊")=0,10^9,LOOKUP(2,1/($N$3:N341="羊"),ROW($N$3:N341))),IF(COUNTIF($N$3:N341,"猴")=0,10^9,LOOKUP(2,1/($N$3:N341="猴"),ROW($N$3:N341))),IF(COUNTIF($N$3:N341,"鸡")=0,10^9,LOOKUP(2,1/($N$3:N341="鸡"),ROW($N$3:N341))),IF(COUNTIF($N$3:N341,"狗")=0,10^9,LOOKUP(2,1/($N$3:N341="狗"),ROW($N$3:N341))),IF(COUNTIF($N$3:N341,"猪")=0,10^9,LOOKUP(2,1/($N$3:N341="猪"),ROW($N$3:N341))))-ROW($N$3)+1),""))),0,IF(ISNUMBER(J341),J341+1,1)))</f>
        <v/>
      </c>
      <c r="K342" s="5" t="e">
        <f t="shared" si="36"/>
        <v>#N/A</v>
      </c>
      <c r="M342" s="6" t="str">
        <f t="shared" si="32"/>
        <v/>
      </c>
      <c r="N342" s="2" t="e">
        <f t="shared" si="33"/>
        <v>#N/A</v>
      </c>
      <c r="O342" s="7" t="str">
        <f>IF(M342="","",IF(COUNTIF(M343:$M$1000,M342)&gt;0,"",M342))</f>
        <v/>
      </c>
      <c r="P342" s="8" t="e">
        <f>IF(N342="","",IF(COUNTIF(N343:$N$1000,N342)&gt;0,"",N342))</f>
        <v>#N/A</v>
      </c>
      <c r="Q342" s="21" t="e">
        <f t="shared" si="34"/>
        <v>#NUM!</v>
      </c>
      <c r="R342" s="22" t="e">
        <f t="shared" si="35"/>
        <v>#NUM!</v>
      </c>
      <c r="S342" s="11"/>
      <c r="T342" s="11"/>
      <c r="U342" s="11"/>
      <c r="W342" s="11"/>
      <c r="X342" s="2"/>
      <c r="Y342" s="2"/>
    </row>
    <row r="343" s="1" customFormat="1" spans="1:25">
      <c r="A343" s="2">
        <v>115056978</v>
      </c>
      <c r="B343" s="2"/>
      <c r="C343" s="2"/>
      <c r="D343" s="2"/>
      <c r="E343" s="2"/>
      <c r="F343" s="2"/>
      <c r="G343" s="2"/>
      <c r="H343" s="3"/>
      <c r="I343" s="2" t="e">
        <f t="shared" si="31"/>
        <v>#N/A</v>
      </c>
      <c r="J343" s="4" t="str">
        <f>IF(H343="","",IF(OR(AND(M343&lt;&gt;"",M343=IFERROR(INDEX($M$3:M342,MIN(IF(COUNTIF($M$3:M342,"0")=0,10^9,LOOKUP(2,1/($M$3:M342="0"),ROW($M$3:M342))),IF(COUNTIF($M$3:M342,"1")=0,10^9,LOOKUP(2,1/($M$3:M342="1"),ROW($M$3:M342))),IF(COUNTIF($M$3:M342,"2")=0,10^9,LOOKUP(2,1/($M$3:M342="2"),ROW($M$3:M342))),IF(COUNTIF($M$3:M342,"3")=0,10^9,LOOKUP(2,1/($M$3:M342="3"),ROW($M$3:M342))),IF(COUNTIF($M$3:M342,"4")=0,10^9,LOOKUP(2,1/($M$3:M342="4"),ROW($M$3:M342))),IF(COUNTIF($M$3:M342,"5")=0,10^9,LOOKUP(2,1/($M$3:M342="5"),ROW($M$3:M342))),IF(COUNTIF($M$3:M342,"6")=0,10^9,LOOKUP(2,1/($M$3:M342="6"),ROW($M$3:M342))),IF(COUNTIF($M$3:M342,"7")=0,10^9,LOOKUP(2,1/($M$3:M342="7"),ROW($M$3:M342))),IF(COUNTIF($M$3:M342,"8")=0,10^9,LOOKUP(2,1/($M$3:M342="8"),ROW($M$3:M342))),IF(COUNTIF($M$3:M342,"9")=0,10^9,LOOKUP(2,1/($M$3:M342="9"),ROW($M$3:M342))))-ROW($M$3)+1),"")),AND(N343&lt;&gt;"",N343=IFERROR(INDEX($N$3:N342,MIN(IF(COUNTIF($N$3:N342,"鼠")=0,10^9,LOOKUP(2,1/($N$3:N342="鼠"),ROW($N$3:N342))),IF(COUNTIF($N$3:N342,"牛")=0,10^9,LOOKUP(2,1/($N$3:N342="牛"),ROW($N$3:N342))),IF(COUNTIF($N$3:N342,"虎")=0,10^9,LOOKUP(2,1/($N$3:N342="虎"),ROW($N$3:N342))),IF(COUNTIF($N$3:N342,"兔")=0,10^9,LOOKUP(2,1/($N$3:N342="兔"),ROW($N$3:N342))),IF(COUNTIF($N$3:N342,"龙")=0,10^9,LOOKUP(2,1/($N$3:N342="龙"),ROW($N$3:N342))),IF(COUNTIF($N$3:N342,"蛇")=0,10^9,LOOKUP(2,1/($N$3:N342="蛇"),ROW($N$3:N342))),IF(COUNTIF($N$3:N342,"马")=0,10^9,LOOKUP(2,1/($N$3:N342="马"),ROW($N$3:N342))),IF(COUNTIF($N$3:N342,"羊")=0,10^9,LOOKUP(2,1/($N$3:N342="羊"),ROW($N$3:N342))),IF(COUNTIF($N$3:N342,"猴")=0,10^9,LOOKUP(2,1/($N$3:N342="猴"),ROW($N$3:N342))),IF(COUNTIF($N$3:N342,"鸡")=0,10^9,LOOKUP(2,1/($N$3:N342="鸡"),ROW($N$3:N342))),IF(COUNTIF($N$3:N342,"狗")=0,10^9,LOOKUP(2,1/($N$3:N342="狗"),ROW($N$3:N342))),IF(COUNTIF($N$3:N342,"猪")=0,10^9,LOOKUP(2,1/($N$3:N342="猪"),ROW($N$3:N342))))-ROW($N$3)+1),""))),0,IF(ISNUMBER(J342),J342+1,1)))</f>
        <v/>
      </c>
      <c r="K343" s="5" t="e">
        <f t="shared" si="36"/>
        <v>#N/A</v>
      </c>
      <c r="M343" s="6" t="str">
        <f t="shared" si="32"/>
        <v/>
      </c>
      <c r="N343" s="2" t="e">
        <f t="shared" si="33"/>
        <v>#N/A</v>
      </c>
      <c r="O343" s="7" t="str">
        <f>IF(M343="","",IF(COUNTIF(M344:$M$1000,M343)&gt;0,"",M343))</f>
        <v/>
      </c>
      <c r="P343" s="8" t="e">
        <f>IF(N343="","",IF(COUNTIF(N344:$N$1000,N343)&gt;0,"",N343))</f>
        <v>#N/A</v>
      </c>
      <c r="Q343" s="21" t="e">
        <f t="shared" si="34"/>
        <v>#NUM!</v>
      </c>
      <c r="R343" s="22" t="e">
        <f t="shared" si="35"/>
        <v>#NUM!</v>
      </c>
      <c r="S343" s="11"/>
      <c r="T343" s="11"/>
      <c r="U343" s="11"/>
      <c r="W343" s="11"/>
      <c r="X343" s="2"/>
      <c r="Y343" s="2"/>
    </row>
    <row r="344" s="1" customFormat="1" spans="1:25">
      <c r="A344" s="2">
        <v>115056979</v>
      </c>
      <c r="B344" s="2"/>
      <c r="C344" s="2"/>
      <c r="D344" s="2"/>
      <c r="E344" s="2"/>
      <c r="F344" s="2"/>
      <c r="G344" s="2"/>
      <c r="H344" s="3"/>
      <c r="I344" s="2" t="e">
        <f t="shared" si="31"/>
        <v>#N/A</v>
      </c>
      <c r="J344" s="4" t="str">
        <f>IF(H344="","",IF(OR(AND(M344&lt;&gt;"",M344=IFERROR(INDEX($M$3:M343,MIN(IF(COUNTIF($M$3:M343,"0")=0,10^9,LOOKUP(2,1/($M$3:M343="0"),ROW($M$3:M343))),IF(COUNTIF($M$3:M343,"1")=0,10^9,LOOKUP(2,1/($M$3:M343="1"),ROW($M$3:M343))),IF(COUNTIF($M$3:M343,"2")=0,10^9,LOOKUP(2,1/($M$3:M343="2"),ROW($M$3:M343))),IF(COUNTIF($M$3:M343,"3")=0,10^9,LOOKUP(2,1/($M$3:M343="3"),ROW($M$3:M343))),IF(COUNTIF($M$3:M343,"4")=0,10^9,LOOKUP(2,1/($M$3:M343="4"),ROW($M$3:M343))),IF(COUNTIF($M$3:M343,"5")=0,10^9,LOOKUP(2,1/($M$3:M343="5"),ROW($M$3:M343))),IF(COUNTIF($M$3:M343,"6")=0,10^9,LOOKUP(2,1/($M$3:M343="6"),ROW($M$3:M343))),IF(COUNTIF($M$3:M343,"7")=0,10^9,LOOKUP(2,1/($M$3:M343="7"),ROW($M$3:M343))),IF(COUNTIF($M$3:M343,"8")=0,10^9,LOOKUP(2,1/($M$3:M343="8"),ROW($M$3:M343))),IF(COUNTIF($M$3:M343,"9")=0,10^9,LOOKUP(2,1/($M$3:M343="9"),ROW($M$3:M343))))-ROW($M$3)+1),"")),AND(N344&lt;&gt;"",N344=IFERROR(INDEX($N$3:N343,MIN(IF(COUNTIF($N$3:N343,"鼠")=0,10^9,LOOKUP(2,1/($N$3:N343="鼠"),ROW($N$3:N343))),IF(COUNTIF($N$3:N343,"牛")=0,10^9,LOOKUP(2,1/($N$3:N343="牛"),ROW($N$3:N343))),IF(COUNTIF($N$3:N343,"虎")=0,10^9,LOOKUP(2,1/($N$3:N343="虎"),ROW($N$3:N343))),IF(COUNTIF($N$3:N343,"兔")=0,10^9,LOOKUP(2,1/($N$3:N343="兔"),ROW($N$3:N343))),IF(COUNTIF($N$3:N343,"龙")=0,10^9,LOOKUP(2,1/($N$3:N343="龙"),ROW($N$3:N343))),IF(COUNTIF($N$3:N343,"蛇")=0,10^9,LOOKUP(2,1/($N$3:N343="蛇"),ROW($N$3:N343))),IF(COUNTIF($N$3:N343,"马")=0,10^9,LOOKUP(2,1/($N$3:N343="马"),ROW($N$3:N343))),IF(COUNTIF($N$3:N343,"羊")=0,10^9,LOOKUP(2,1/($N$3:N343="羊"),ROW($N$3:N343))),IF(COUNTIF($N$3:N343,"猴")=0,10^9,LOOKUP(2,1/($N$3:N343="猴"),ROW($N$3:N343))),IF(COUNTIF($N$3:N343,"鸡")=0,10^9,LOOKUP(2,1/($N$3:N343="鸡"),ROW($N$3:N343))),IF(COUNTIF($N$3:N343,"狗")=0,10^9,LOOKUP(2,1/($N$3:N343="狗"),ROW($N$3:N343))),IF(COUNTIF($N$3:N343,"猪")=0,10^9,LOOKUP(2,1/($N$3:N343="猪"),ROW($N$3:N343))))-ROW($N$3)+1),""))),0,IF(ISNUMBER(J343),J343+1,1)))</f>
        <v/>
      </c>
      <c r="K344" s="5" t="e">
        <f t="shared" si="36"/>
        <v>#N/A</v>
      </c>
      <c r="M344" s="6" t="str">
        <f t="shared" si="32"/>
        <v/>
      </c>
      <c r="N344" s="2" t="e">
        <f t="shared" si="33"/>
        <v>#N/A</v>
      </c>
      <c r="O344" s="7" t="str">
        <f>IF(M344="","",IF(COUNTIF(M345:$M$1000,M344)&gt;0,"",M344))</f>
        <v/>
      </c>
      <c r="P344" s="8" t="e">
        <f>IF(N344="","",IF(COUNTIF(N345:$N$1000,N344)&gt;0,"",N344))</f>
        <v>#N/A</v>
      </c>
      <c r="Q344" s="21" t="e">
        <f t="shared" si="34"/>
        <v>#NUM!</v>
      </c>
      <c r="R344" s="22" t="e">
        <f t="shared" si="35"/>
        <v>#NUM!</v>
      </c>
      <c r="S344" s="11"/>
      <c r="T344" s="11"/>
      <c r="U344" s="11"/>
      <c r="W344" s="11"/>
      <c r="X344" s="2"/>
      <c r="Y344" s="2"/>
    </row>
    <row r="345" s="1" customFormat="1" spans="1:25">
      <c r="A345" s="2">
        <v>115056980</v>
      </c>
      <c r="B345" s="2"/>
      <c r="C345" s="2"/>
      <c r="D345" s="2"/>
      <c r="E345" s="2"/>
      <c r="F345" s="2"/>
      <c r="G345" s="2"/>
      <c r="H345" s="3"/>
      <c r="I345" s="2" t="e">
        <f t="shared" si="31"/>
        <v>#N/A</v>
      </c>
      <c r="J345" s="4" t="str">
        <f>IF(H345="","",IF(OR(AND(M345&lt;&gt;"",M345=IFERROR(INDEX($M$3:M344,MIN(IF(COUNTIF($M$3:M344,"0")=0,10^9,LOOKUP(2,1/($M$3:M344="0"),ROW($M$3:M344))),IF(COUNTIF($M$3:M344,"1")=0,10^9,LOOKUP(2,1/($M$3:M344="1"),ROW($M$3:M344))),IF(COUNTIF($M$3:M344,"2")=0,10^9,LOOKUP(2,1/($M$3:M344="2"),ROW($M$3:M344))),IF(COUNTIF($M$3:M344,"3")=0,10^9,LOOKUP(2,1/($M$3:M344="3"),ROW($M$3:M344))),IF(COUNTIF($M$3:M344,"4")=0,10^9,LOOKUP(2,1/($M$3:M344="4"),ROW($M$3:M344))),IF(COUNTIF($M$3:M344,"5")=0,10^9,LOOKUP(2,1/($M$3:M344="5"),ROW($M$3:M344))),IF(COUNTIF($M$3:M344,"6")=0,10^9,LOOKUP(2,1/($M$3:M344="6"),ROW($M$3:M344))),IF(COUNTIF($M$3:M344,"7")=0,10^9,LOOKUP(2,1/($M$3:M344="7"),ROW($M$3:M344))),IF(COUNTIF($M$3:M344,"8")=0,10^9,LOOKUP(2,1/($M$3:M344="8"),ROW($M$3:M344))),IF(COUNTIF($M$3:M344,"9")=0,10^9,LOOKUP(2,1/($M$3:M344="9"),ROW($M$3:M344))))-ROW($M$3)+1),"")),AND(N345&lt;&gt;"",N345=IFERROR(INDEX($N$3:N344,MIN(IF(COUNTIF($N$3:N344,"鼠")=0,10^9,LOOKUP(2,1/($N$3:N344="鼠"),ROW($N$3:N344))),IF(COUNTIF($N$3:N344,"牛")=0,10^9,LOOKUP(2,1/($N$3:N344="牛"),ROW($N$3:N344))),IF(COUNTIF($N$3:N344,"虎")=0,10^9,LOOKUP(2,1/($N$3:N344="虎"),ROW($N$3:N344))),IF(COUNTIF($N$3:N344,"兔")=0,10^9,LOOKUP(2,1/($N$3:N344="兔"),ROW($N$3:N344))),IF(COUNTIF($N$3:N344,"龙")=0,10^9,LOOKUP(2,1/($N$3:N344="龙"),ROW($N$3:N344))),IF(COUNTIF($N$3:N344,"蛇")=0,10^9,LOOKUP(2,1/($N$3:N344="蛇"),ROW($N$3:N344))),IF(COUNTIF($N$3:N344,"马")=0,10^9,LOOKUP(2,1/($N$3:N344="马"),ROW($N$3:N344))),IF(COUNTIF($N$3:N344,"羊")=0,10^9,LOOKUP(2,1/($N$3:N344="羊"),ROW($N$3:N344))),IF(COUNTIF($N$3:N344,"猴")=0,10^9,LOOKUP(2,1/($N$3:N344="猴"),ROW($N$3:N344))),IF(COUNTIF($N$3:N344,"鸡")=0,10^9,LOOKUP(2,1/($N$3:N344="鸡"),ROW($N$3:N344))),IF(COUNTIF($N$3:N344,"狗")=0,10^9,LOOKUP(2,1/($N$3:N344="狗"),ROW($N$3:N344))),IF(COUNTIF($N$3:N344,"猪")=0,10^9,LOOKUP(2,1/($N$3:N344="猪"),ROW($N$3:N344))))-ROW($N$3)+1),""))),0,IF(ISNUMBER(J344),J344+1,1)))</f>
        <v/>
      </c>
      <c r="K345" s="5" t="e">
        <f t="shared" si="36"/>
        <v>#N/A</v>
      </c>
      <c r="M345" s="6" t="str">
        <f t="shared" si="32"/>
        <v/>
      </c>
      <c r="N345" s="2" t="e">
        <f t="shared" si="33"/>
        <v>#N/A</v>
      </c>
      <c r="O345" s="7" t="str">
        <f>IF(M345="","",IF(COUNTIF(M346:$M$1000,M345)&gt;0,"",M345))</f>
        <v/>
      </c>
      <c r="P345" s="8" t="e">
        <f>IF(N345="","",IF(COUNTIF(N346:$N$1000,N345)&gt;0,"",N345))</f>
        <v>#N/A</v>
      </c>
      <c r="Q345" s="21" t="e">
        <f t="shared" si="34"/>
        <v>#NUM!</v>
      </c>
      <c r="R345" s="22" t="e">
        <f t="shared" si="35"/>
        <v>#NUM!</v>
      </c>
      <c r="S345" s="11"/>
      <c r="T345" s="11"/>
      <c r="U345" s="11"/>
      <c r="W345" s="11"/>
      <c r="X345" s="2"/>
      <c r="Y345" s="2"/>
    </row>
    <row r="346" s="1" customFormat="1" spans="1:25">
      <c r="A346" s="2">
        <v>115056981</v>
      </c>
      <c r="B346" s="2"/>
      <c r="C346" s="2"/>
      <c r="D346" s="2"/>
      <c r="E346" s="2"/>
      <c r="F346" s="2"/>
      <c r="G346" s="2"/>
      <c r="H346" s="3"/>
      <c r="I346" s="2" t="e">
        <f t="shared" si="31"/>
        <v>#N/A</v>
      </c>
      <c r="J346" s="4" t="str">
        <f>IF(H346="","",IF(OR(AND(M346&lt;&gt;"",M346=IFERROR(INDEX($M$3:M345,MIN(IF(COUNTIF($M$3:M345,"0")=0,10^9,LOOKUP(2,1/($M$3:M345="0"),ROW($M$3:M345))),IF(COUNTIF($M$3:M345,"1")=0,10^9,LOOKUP(2,1/($M$3:M345="1"),ROW($M$3:M345))),IF(COUNTIF($M$3:M345,"2")=0,10^9,LOOKUP(2,1/($M$3:M345="2"),ROW($M$3:M345))),IF(COUNTIF($M$3:M345,"3")=0,10^9,LOOKUP(2,1/($M$3:M345="3"),ROW($M$3:M345))),IF(COUNTIF($M$3:M345,"4")=0,10^9,LOOKUP(2,1/($M$3:M345="4"),ROW($M$3:M345))),IF(COUNTIF($M$3:M345,"5")=0,10^9,LOOKUP(2,1/($M$3:M345="5"),ROW($M$3:M345))),IF(COUNTIF($M$3:M345,"6")=0,10^9,LOOKUP(2,1/($M$3:M345="6"),ROW($M$3:M345))),IF(COUNTIF($M$3:M345,"7")=0,10^9,LOOKUP(2,1/($M$3:M345="7"),ROW($M$3:M345))),IF(COUNTIF($M$3:M345,"8")=0,10^9,LOOKUP(2,1/($M$3:M345="8"),ROW($M$3:M345))),IF(COUNTIF($M$3:M345,"9")=0,10^9,LOOKUP(2,1/($M$3:M345="9"),ROW($M$3:M345))))-ROW($M$3)+1),"")),AND(N346&lt;&gt;"",N346=IFERROR(INDEX($N$3:N345,MIN(IF(COUNTIF($N$3:N345,"鼠")=0,10^9,LOOKUP(2,1/($N$3:N345="鼠"),ROW($N$3:N345))),IF(COUNTIF($N$3:N345,"牛")=0,10^9,LOOKUP(2,1/($N$3:N345="牛"),ROW($N$3:N345))),IF(COUNTIF($N$3:N345,"虎")=0,10^9,LOOKUP(2,1/($N$3:N345="虎"),ROW($N$3:N345))),IF(COUNTIF($N$3:N345,"兔")=0,10^9,LOOKUP(2,1/($N$3:N345="兔"),ROW($N$3:N345))),IF(COUNTIF($N$3:N345,"龙")=0,10^9,LOOKUP(2,1/($N$3:N345="龙"),ROW($N$3:N345))),IF(COUNTIF($N$3:N345,"蛇")=0,10^9,LOOKUP(2,1/($N$3:N345="蛇"),ROW($N$3:N345))),IF(COUNTIF($N$3:N345,"马")=0,10^9,LOOKUP(2,1/($N$3:N345="马"),ROW($N$3:N345))),IF(COUNTIF($N$3:N345,"羊")=0,10^9,LOOKUP(2,1/($N$3:N345="羊"),ROW($N$3:N345))),IF(COUNTIF($N$3:N345,"猴")=0,10^9,LOOKUP(2,1/($N$3:N345="猴"),ROW($N$3:N345))),IF(COUNTIF($N$3:N345,"鸡")=0,10^9,LOOKUP(2,1/($N$3:N345="鸡"),ROW($N$3:N345))),IF(COUNTIF($N$3:N345,"狗")=0,10^9,LOOKUP(2,1/($N$3:N345="狗"),ROW($N$3:N345))),IF(COUNTIF($N$3:N345,"猪")=0,10^9,LOOKUP(2,1/($N$3:N345="猪"),ROW($N$3:N345))))-ROW($N$3)+1),""))),0,IF(ISNUMBER(J345),J345+1,1)))</f>
        <v/>
      </c>
      <c r="K346" s="5" t="e">
        <f t="shared" si="36"/>
        <v>#N/A</v>
      </c>
      <c r="M346" s="6" t="str">
        <f t="shared" si="32"/>
        <v/>
      </c>
      <c r="N346" s="2" t="e">
        <f t="shared" si="33"/>
        <v>#N/A</v>
      </c>
      <c r="O346" s="7" t="str">
        <f>IF(M346="","",IF(COUNTIF(M347:$M$1000,M346)&gt;0,"",M346))</f>
        <v/>
      </c>
      <c r="P346" s="8" t="e">
        <f>IF(N346="","",IF(COUNTIF(N347:$N$1000,N346)&gt;0,"",N346))</f>
        <v>#N/A</v>
      </c>
      <c r="Q346" s="21" t="e">
        <f t="shared" si="34"/>
        <v>#NUM!</v>
      </c>
      <c r="R346" s="22" t="e">
        <f t="shared" si="35"/>
        <v>#NUM!</v>
      </c>
      <c r="S346" s="11"/>
      <c r="T346" s="11"/>
      <c r="U346" s="11"/>
      <c r="W346" s="11"/>
      <c r="X346" s="2"/>
      <c r="Y346" s="2"/>
    </row>
    <row r="347" s="1" customFormat="1" spans="1:25">
      <c r="A347" s="2">
        <v>115056982</v>
      </c>
      <c r="B347" s="2"/>
      <c r="C347" s="2"/>
      <c r="D347" s="2"/>
      <c r="E347" s="2"/>
      <c r="F347" s="2"/>
      <c r="G347" s="2"/>
      <c r="H347" s="3"/>
      <c r="I347" s="2" t="e">
        <f t="shared" si="31"/>
        <v>#N/A</v>
      </c>
      <c r="J347" s="4" t="str">
        <f>IF(H347="","",IF(OR(AND(M347&lt;&gt;"",M347=IFERROR(INDEX($M$3:M346,MIN(IF(COUNTIF($M$3:M346,"0")=0,10^9,LOOKUP(2,1/($M$3:M346="0"),ROW($M$3:M346))),IF(COUNTIF($M$3:M346,"1")=0,10^9,LOOKUP(2,1/($M$3:M346="1"),ROW($M$3:M346))),IF(COUNTIF($M$3:M346,"2")=0,10^9,LOOKUP(2,1/($M$3:M346="2"),ROW($M$3:M346))),IF(COUNTIF($M$3:M346,"3")=0,10^9,LOOKUP(2,1/($M$3:M346="3"),ROW($M$3:M346))),IF(COUNTIF($M$3:M346,"4")=0,10^9,LOOKUP(2,1/($M$3:M346="4"),ROW($M$3:M346))),IF(COUNTIF($M$3:M346,"5")=0,10^9,LOOKUP(2,1/($M$3:M346="5"),ROW($M$3:M346))),IF(COUNTIF($M$3:M346,"6")=0,10^9,LOOKUP(2,1/($M$3:M346="6"),ROW($M$3:M346))),IF(COUNTIF($M$3:M346,"7")=0,10^9,LOOKUP(2,1/($M$3:M346="7"),ROW($M$3:M346))),IF(COUNTIF($M$3:M346,"8")=0,10^9,LOOKUP(2,1/($M$3:M346="8"),ROW($M$3:M346))),IF(COUNTIF($M$3:M346,"9")=0,10^9,LOOKUP(2,1/($M$3:M346="9"),ROW($M$3:M346))))-ROW($M$3)+1),"")),AND(N347&lt;&gt;"",N347=IFERROR(INDEX($N$3:N346,MIN(IF(COUNTIF($N$3:N346,"鼠")=0,10^9,LOOKUP(2,1/($N$3:N346="鼠"),ROW($N$3:N346))),IF(COUNTIF($N$3:N346,"牛")=0,10^9,LOOKUP(2,1/($N$3:N346="牛"),ROW($N$3:N346))),IF(COUNTIF($N$3:N346,"虎")=0,10^9,LOOKUP(2,1/($N$3:N346="虎"),ROW($N$3:N346))),IF(COUNTIF($N$3:N346,"兔")=0,10^9,LOOKUP(2,1/($N$3:N346="兔"),ROW($N$3:N346))),IF(COUNTIF($N$3:N346,"龙")=0,10^9,LOOKUP(2,1/($N$3:N346="龙"),ROW($N$3:N346))),IF(COUNTIF($N$3:N346,"蛇")=0,10^9,LOOKUP(2,1/($N$3:N346="蛇"),ROW($N$3:N346))),IF(COUNTIF($N$3:N346,"马")=0,10^9,LOOKUP(2,1/($N$3:N346="马"),ROW($N$3:N346))),IF(COUNTIF($N$3:N346,"羊")=0,10^9,LOOKUP(2,1/($N$3:N346="羊"),ROW($N$3:N346))),IF(COUNTIF($N$3:N346,"猴")=0,10^9,LOOKUP(2,1/($N$3:N346="猴"),ROW($N$3:N346))),IF(COUNTIF($N$3:N346,"鸡")=0,10^9,LOOKUP(2,1/($N$3:N346="鸡"),ROW($N$3:N346))),IF(COUNTIF($N$3:N346,"狗")=0,10^9,LOOKUP(2,1/($N$3:N346="狗"),ROW($N$3:N346))),IF(COUNTIF($N$3:N346,"猪")=0,10^9,LOOKUP(2,1/($N$3:N346="猪"),ROW($N$3:N346))))-ROW($N$3)+1),""))),0,IF(ISNUMBER(J346),J346+1,1)))</f>
        <v/>
      </c>
      <c r="K347" s="5" t="e">
        <f t="shared" si="36"/>
        <v>#N/A</v>
      </c>
      <c r="M347" s="6" t="str">
        <f t="shared" si="32"/>
        <v/>
      </c>
      <c r="N347" s="2" t="e">
        <f t="shared" si="33"/>
        <v>#N/A</v>
      </c>
      <c r="O347" s="7" t="str">
        <f>IF(M347="","",IF(COUNTIF(M348:$M$1000,M347)&gt;0,"",M347))</f>
        <v/>
      </c>
      <c r="P347" s="8" t="e">
        <f>IF(N347="","",IF(COUNTIF(N348:$N$1000,N347)&gt;0,"",N347))</f>
        <v>#N/A</v>
      </c>
      <c r="Q347" s="21" t="e">
        <f t="shared" si="34"/>
        <v>#NUM!</v>
      </c>
      <c r="R347" s="22" t="e">
        <f t="shared" si="35"/>
        <v>#NUM!</v>
      </c>
      <c r="S347" s="11"/>
      <c r="T347" s="11"/>
      <c r="U347" s="11"/>
      <c r="W347" s="11"/>
      <c r="X347" s="2"/>
      <c r="Y347" s="2"/>
    </row>
    <row r="348" s="1" customFormat="1" spans="1:25">
      <c r="A348" s="2">
        <v>115056983</v>
      </c>
      <c r="B348" s="2"/>
      <c r="C348" s="2"/>
      <c r="D348" s="2"/>
      <c r="E348" s="2"/>
      <c r="F348" s="2"/>
      <c r="G348" s="2"/>
      <c r="H348" s="3"/>
      <c r="I348" s="2" t="e">
        <f t="shared" si="31"/>
        <v>#N/A</v>
      </c>
      <c r="J348" s="4" t="str">
        <f>IF(H348="","",IF(OR(AND(M348&lt;&gt;"",M348=IFERROR(INDEX($M$3:M347,MIN(IF(COUNTIF($M$3:M347,"0")=0,10^9,LOOKUP(2,1/($M$3:M347="0"),ROW($M$3:M347))),IF(COUNTIF($M$3:M347,"1")=0,10^9,LOOKUP(2,1/($M$3:M347="1"),ROW($M$3:M347))),IF(COUNTIF($M$3:M347,"2")=0,10^9,LOOKUP(2,1/($M$3:M347="2"),ROW($M$3:M347))),IF(COUNTIF($M$3:M347,"3")=0,10^9,LOOKUP(2,1/($M$3:M347="3"),ROW($M$3:M347))),IF(COUNTIF($M$3:M347,"4")=0,10^9,LOOKUP(2,1/($M$3:M347="4"),ROW($M$3:M347))),IF(COUNTIF($M$3:M347,"5")=0,10^9,LOOKUP(2,1/($M$3:M347="5"),ROW($M$3:M347))),IF(COUNTIF($M$3:M347,"6")=0,10^9,LOOKUP(2,1/($M$3:M347="6"),ROW($M$3:M347))),IF(COUNTIF($M$3:M347,"7")=0,10^9,LOOKUP(2,1/($M$3:M347="7"),ROW($M$3:M347))),IF(COUNTIF($M$3:M347,"8")=0,10^9,LOOKUP(2,1/($M$3:M347="8"),ROW($M$3:M347))),IF(COUNTIF($M$3:M347,"9")=0,10^9,LOOKUP(2,1/($M$3:M347="9"),ROW($M$3:M347))))-ROW($M$3)+1),"")),AND(N348&lt;&gt;"",N348=IFERROR(INDEX($N$3:N347,MIN(IF(COUNTIF($N$3:N347,"鼠")=0,10^9,LOOKUP(2,1/($N$3:N347="鼠"),ROW($N$3:N347))),IF(COUNTIF($N$3:N347,"牛")=0,10^9,LOOKUP(2,1/($N$3:N347="牛"),ROW($N$3:N347))),IF(COUNTIF($N$3:N347,"虎")=0,10^9,LOOKUP(2,1/($N$3:N347="虎"),ROW($N$3:N347))),IF(COUNTIF($N$3:N347,"兔")=0,10^9,LOOKUP(2,1/($N$3:N347="兔"),ROW($N$3:N347))),IF(COUNTIF($N$3:N347,"龙")=0,10^9,LOOKUP(2,1/($N$3:N347="龙"),ROW($N$3:N347))),IF(COUNTIF($N$3:N347,"蛇")=0,10^9,LOOKUP(2,1/($N$3:N347="蛇"),ROW($N$3:N347))),IF(COUNTIF($N$3:N347,"马")=0,10^9,LOOKUP(2,1/($N$3:N347="马"),ROW($N$3:N347))),IF(COUNTIF($N$3:N347,"羊")=0,10^9,LOOKUP(2,1/($N$3:N347="羊"),ROW($N$3:N347))),IF(COUNTIF($N$3:N347,"猴")=0,10^9,LOOKUP(2,1/($N$3:N347="猴"),ROW($N$3:N347))),IF(COUNTIF($N$3:N347,"鸡")=0,10^9,LOOKUP(2,1/($N$3:N347="鸡"),ROW($N$3:N347))),IF(COUNTIF($N$3:N347,"狗")=0,10^9,LOOKUP(2,1/($N$3:N347="狗"),ROW($N$3:N347))),IF(COUNTIF($N$3:N347,"猪")=0,10^9,LOOKUP(2,1/($N$3:N347="猪"),ROW($N$3:N347))))-ROW($N$3)+1),""))),0,IF(ISNUMBER(J347),J347+1,1)))</f>
        <v/>
      </c>
      <c r="K348" s="5" t="e">
        <f t="shared" si="36"/>
        <v>#N/A</v>
      </c>
      <c r="M348" s="6" t="str">
        <f t="shared" si="32"/>
        <v/>
      </c>
      <c r="N348" s="2" t="e">
        <f t="shared" si="33"/>
        <v>#N/A</v>
      </c>
      <c r="O348" s="7" t="str">
        <f>IF(M348="","",IF(COUNTIF(M349:$M$1000,M348)&gt;0,"",M348))</f>
        <v/>
      </c>
      <c r="P348" s="8" t="e">
        <f>IF(N348="","",IF(COUNTIF(N349:$N$1000,N348)&gt;0,"",N348))</f>
        <v>#N/A</v>
      </c>
      <c r="Q348" s="21" t="e">
        <f t="shared" si="34"/>
        <v>#NUM!</v>
      </c>
      <c r="R348" s="22" t="e">
        <f t="shared" si="35"/>
        <v>#NUM!</v>
      </c>
      <c r="S348" s="11"/>
      <c r="T348" s="11"/>
      <c r="U348" s="11"/>
      <c r="W348" s="11"/>
      <c r="X348" s="2"/>
      <c r="Y348" s="2"/>
    </row>
    <row r="349" s="1" customFormat="1" spans="1:25">
      <c r="A349" s="2">
        <v>115056984</v>
      </c>
      <c r="B349" s="2"/>
      <c r="C349" s="2"/>
      <c r="D349" s="2"/>
      <c r="E349" s="2"/>
      <c r="F349" s="2"/>
      <c r="G349" s="2"/>
      <c r="H349" s="3"/>
      <c r="I349" s="2" t="e">
        <f t="shared" si="31"/>
        <v>#N/A</v>
      </c>
      <c r="J349" s="4" t="str">
        <f>IF(H349="","",IF(OR(AND(M349&lt;&gt;"",M349=IFERROR(INDEX($M$3:M348,MIN(IF(COUNTIF($M$3:M348,"0")=0,10^9,LOOKUP(2,1/($M$3:M348="0"),ROW($M$3:M348))),IF(COUNTIF($M$3:M348,"1")=0,10^9,LOOKUP(2,1/($M$3:M348="1"),ROW($M$3:M348))),IF(COUNTIF($M$3:M348,"2")=0,10^9,LOOKUP(2,1/($M$3:M348="2"),ROW($M$3:M348))),IF(COUNTIF($M$3:M348,"3")=0,10^9,LOOKUP(2,1/($M$3:M348="3"),ROW($M$3:M348))),IF(COUNTIF($M$3:M348,"4")=0,10^9,LOOKUP(2,1/($M$3:M348="4"),ROW($M$3:M348))),IF(COUNTIF($M$3:M348,"5")=0,10^9,LOOKUP(2,1/($M$3:M348="5"),ROW($M$3:M348))),IF(COUNTIF($M$3:M348,"6")=0,10^9,LOOKUP(2,1/($M$3:M348="6"),ROW($M$3:M348))),IF(COUNTIF($M$3:M348,"7")=0,10^9,LOOKUP(2,1/($M$3:M348="7"),ROW($M$3:M348))),IF(COUNTIF($M$3:M348,"8")=0,10^9,LOOKUP(2,1/($M$3:M348="8"),ROW($M$3:M348))),IF(COUNTIF($M$3:M348,"9")=0,10^9,LOOKUP(2,1/($M$3:M348="9"),ROW($M$3:M348))))-ROW($M$3)+1),"")),AND(N349&lt;&gt;"",N349=IFERROR(INDEX($N$3:N348,MIN(IF(COUNTIF($N$3:N348,"鼠")=0,10^9,LOOKUP(2,1/($N$3:N348="鼠"),ROW($N$3:N348))),IF(COUNTIF($N$3:N348,"牛")=0,10^9,LOOKUP(2,1/($N$3:N348="牛"),ROW($N$3:N348))),IF(COUNTIF($N$3:N348,"虎")=0,10^9,LOOKUP(2,1/($N$3:N348="虎"),ROW($N$3:N348))),IF(COUNTIF($N$3:N348,"兔")=0,10^9,LOOKUP(2,1/($N$3:N348="兔"),ROW($N$3:N348))),IF(COUNTIF($N$3:N348,"龙")=0,10^9,LOOKUP(2,1/($N$3:N348="龙"),ROW($N$3:N348))),IF(COUNTIF($N$3:N348,"蛇")=0,10^9,LOOKUP(2,1/($N$3:N348="蛇"),ROW($N$3:N348))),IF(COUNTIF($N$3:N348,"马")=0,10^9,LOOKUP(2,1/($N$3:N348="马"),ROW($N$3:N348))),IF(COUNTIF($N$3:N348,"羊")=0,10^9,LOOKUP(2,1/($N$3:N348="羊"),ROW($N$3:N348))),IF(COUNTIF($N$3:N348,"猴")=0,10^9,LOOKUP(2,1/($N$3:N348="猴"),ROW($N$3:N348))),IF(COUNTIF($N$3:N348,"鸡")=0,10^9,LOOKUP(2,1/($N$3:N348="鸡"),ROW($N$3:N348))),IF(COUNTIF($N$3:N348,"狗")=0,10^9,LOOKUP(2,1/($N$3:N348="狗"),ROW($N$3:N348))),IF(COUNTIF($N$3:N348,"猪")=0,10^9,LOOKUP(2,1/($N$3:N348="猪"),ROW($N$3:N348))))-ROW($N$3)+1),""))),0,IF(ISNUMBER(J348),J348+1,1)))</f>
        <v/>
      </c>
      <c r="K349" s="5" t="e">
        <f t="shared" si="36"/>
        <v>#N/A</v>
      </c>
      <c r="M349" s="6" t="str">
        <f t="shared" si="32"/>
        <v/>
      </c>
      <c r="N349" s="2" t="e">
        <f t="shared" si="33"/>
        <v>#N/A</v>
      </c>
      <c r="O349" s="7" t="str">
        <f>IF(M349="","",IF(COUNTIF(M350:$M$1000,M349)&gt;0,"",M349))</f>
        <v/>
      </c>
      <c r="P349" s="8" t="e">
        <f>IF(N349="","",IF(COUNTIF(N350:$N$1000,N349)&gt;0,"",N349))</f>
        <v>#N/A</v>
      </c>
      <c r="Q349" s="21" t="e">
        <f t="shared" si="34"/>
        <v>#NUM!</v>
      </c>
      <c r="R349" s="22" t="e">
        <f t="shared" si="35"/>
        <v>#NUM!</v>
      </c>
      <c r="S349" s="11"/>
      <c r="T349" s="11"/>
      <c r="U349" s="11"/>
      <c r="W349" s="11"/>
      <c r="X349" s="2"/>
      <c r="Y349" s="2"/>
    </row>
    <row r="350" s="1" customFormat="1" spans="1:25">
      <c r="A350" s="2">
        <v>115056985</v>
      </c>
      <c r="B350" s="2"/>
      <c r="C350" s="2"/>
      <c r="D350" s="2"/>
      <c r="E350" s="2"/>
      <c r="F350" s="2"/>
      <c r="G350" s="2"/>
      <c r="H350" s="3"/>
      <c r="I350" s="2" t="e">
        <f t="shared" si="31"/>
        <v>#N/A</v>
      </c>
      <c r="J350" s="4" t="str">
        <f>IF(H350="","",IF(OR(AND(M350&lt;&gt;"",M350=IFERROR(INDEX($M$3:M349,MIN(IF(COUNTIF($M$3:M349,"0")=0,10^9,LOOKUP(2,1/($M$3:M349="0"),ROW($M$3:M349))),IF(COUNTIF($M$3:M349,"1")=0,10^9,LOOKUP(2,1/($M$3:M349="1"),ROW($M$3:M349))),IF(COUNTIF($M$3:M349,"2")=0,10^9,LOOKUP(2,1/($M$3:M349="2"),ROW($M$3:M349))),IF(COUNTIF($M$3:M349,"3")=0,10^9,LOOKUP(2,1/($M$3:M349="3"),ROW($M$3:M349))),IF(COUNTIF($M$3:M349,"4")=0,10^9,LOOKUP(2,1/($M$3:M349="4"),ROW($M$3:M349))),IF(COUNTIF($M$3:M349,"5")=0,10^9,LOOKUP(2,1/($M$3:M349="5"),ROW($M$3:M349))),IF(COUNTIF($M$3:M349,"6")=0,10^9,LOOKUP(2,1/($M$3:M349="6"),ROW($M$3:M349))),IF(COUNTIF($M$3:M349,"7")=0,10^9,LOOKUP(2,1/($M$3:M349="7"),ROW($M$3:M349))),IF(COUNTIF($M$3:M349,"8")=0,10^9,LOOKUP(2,1/($M$3:M349="8"),ROW($M$3:M349))),IF(COUNTIF($M$3:M349,"9")=0,10^9,LOOKUP(2,1/($M$3:M349="9"),ROW($M$3:M349))))-ROW($M$3)+1),"")),AND(N350&lt;&gt;"",N350=IFERROR(INDEX($N$3:N349,MIN(IF(COUNTIF($N$3:N349,"鼠")=0,10^9,LOOKUP(2,1/($N$3:N349="鼠"),ROW($N$3:N349))),IF(COUNTIF($N$3:N349,"牛")=0,10^9,LOOKUP(2,1/($N$3:N349="牛"),ROW($N$3:N349))),IF(COUNTIF($N$3:N349,"虎")=0,10^9,LOOKUP(2,1/($N$3:N349="虎"),ROW($N$3:N349))),IF(COUNTIF($N$3:N349,"兔")=0,10^9,LOOKUP(2,1/($N$3:N349="兔"),ROW($N$3:N349))),IF(COUNTIF($N$3:N349,"龙")=0,10^9,LOOKUP(2,1/($N$3:N349="龙"),ROW($N$3:N349))),IF(COUNTIF($N$3:N349,"蛇")=0,10^9,LOOKUP(2,1/($N$3:N349="蛇"),ROW($N$3:N349))),IF(COUNTIF($N$3:N349,"马")=0,10^9,LOOKUP(2,1/($N$3:N349="马"),ROW($N$3:N349))),IF(COUNTIF($N$3:N349,"羊")=0,10^9,LOOKUP(2,1/($N$3:N349="羊"),ROW($N$3:N349))),IF(COUNTIF($N$3:N349,"猴")=0,10^9,LOOKUP(2,1/($N$3:N349="猴"),ROW($N$3:N349))),IF(COUNTIF($N$3:N349,"鸡")=0,10^9,LOOKUP(2,1/($N$3:N349="鸡"),ROW($N$3:N349))),IF(COUNTIF($N$3:N349,"狗")=0,10^9,LOOKUP(2,1/($N$3:N349="狗"),ROW($N$3:N349))),IF(COUNTIF($N$3:N349,"猪")=0,10^9,LOOKUP(2,1/($N$3:N349="猪"),ROW($N$3:N349))))-ROW($N$3)+1),""))),0,IF(ISNUMBER(J349),J349+1,1)))</f>
        <v/>
      </c>
      <c r="K350" s="5" t="e">
        <f t="shared" si="36"/>
        <v>#N/A</v>
      </c>
      <c r="M350" s="6" t="str">
        <f t="shared" si="32"/>
        <v/>
      </c>
      <c r="N350" s="2" t="e">
        <f t="shared" si="33"/>
        <v>#N/A</v>
      </c>
      <c r="O350" s="7" t="str">
        <f>IF(M350="","",IF(COUNTIF(M351:$M$1000,M350)&gt;0,"",M350))</f>
        <v/>
      </c>
      <c r="P350" s="8" t="e">
        <f>IF(N350="","",IF(COUNTIF(N351:$N$1000,N350)&gt;0,"",N350))</f>
        <v>#N/A</v>
      </c>
      <c r="Q350" s="21" t="e">
        <f t="shared" si="34"/>
        <v>#NUM!</v>
      </c>
      <c r="R350" s="22" t="e">
        <f t="shared" si="35"/>
        <v>#NUM!</v>
      </c>
      <c r="S350" s="11"/>
      <c r="T350" s="11"/>
      <c r="U350" s="11"/>
      <c r="W350" s="11"/>
      <c r="X350" s="2"/>
      <c r="Y350" s="2"/>
    </row>
    <row r="351" s="1" customFormat="1" spans="1:25">
      <c r="A351" s="2">
        <v>115056986</v>
      </c>
      <c r="B351" s="2"/>
      <c r="C351" s="2"/>
      <c r="D351" s="2"/>
      <c r="E351" s="2"/>
      <c r="F351" s="2"/>
      <c r="G351" s="2"/>
      <c r="H351" s="3"/>
      <c r="I351" s="2" t="e">
        <f t="shared" si="31"/>
        <v>#N/A</v>
      </c>
      <c r="J351" s="4" t="str">
        <f>IF(H351="","",IF(OR(AND(M351&lt;&gt;"",M351=IFERROR(INDEX($M$3:M350,MIN(IF(COUNTIF($M$3:M350,"0")=0,10^9,LOOKUP(2,1/($M$3:M350="0"),ROW($M$3:M350))),IF(COUNTIF($M$3:M350,"1")=0,10^9,LOOKUP(2,1/($M$3:M350="1"),ROW($M$3:M350))),IF(COUNTIF($M$3:M350,"2")=0,10^9,LOOKUP(2,1/($M$3:M350="2"),ROW($M$3:M350))),IF(COUNTIF($M$3:M350,"3")=0,10^9,LOOKUP(2,1/($M$3:M350="3"),ROW($M$3:M350))),IF(COUNTIF($M$3:M350,"4")=0,10^9,LOOKUP(2,1/($M$3:M350="4"),ROW($M$3:M350))),IF(COUNTIF($M$3:M350,"5")=0,10^9,LOOKUP(2,1/($M$3:M350="5"),ROW($M$3:M350))),IF(COUNTIF($M$3:M350,"6")=0,10^9,LOOKUP(2,1/($M$3:M350="6"),ROW($M$3:M350))),IF(COUNTIF($M$3:M350,"7")=0,10^9,LOOKUP(2,1/($M$3:M350="7"),ROW($M$3:M350))),IF(COUNTIF($M$3:M350,"8")=0,10^9,LOOKUP(2,1/($M$3:M350="8"),ROW($M$3:M350))),IF(COUNTIF($M$3:M350,"9")=0,10^9,LOOKUP(2,1/($M$3:M350="9"),ROW($M$3:M350))))-ROW($M$3)+1),"")),AND(N351&lt;&gt;"",N351=IFERROR(INDEX($N$3:N350,MIN(IF(COUNTIF($N$3:N350,"鼠")=0,10^9,LOOKUP(2,1/($N$3:N350="鼠"),ROW($N$3:N350))),IF(COUNTIF($N$3:N350,"牛")=0,10^9,LOOKUP(2,1/($N$3:N350="牛"),ROW($N$3:N350))),IF(COUNTIF($N$3:N350,"虎")=0,10^9,LOOKUP(2,1/($N$3:N350="虎"),ROW($N$3:N350))),IF(COUNTIF($N$3:N350,"兔")=0,10^9,LOOKUP(2,1/($N$3:N350="兔"),ROW($N$3:N350))),IF(COUNTIF($N$3:N350,"龙")=0,10^9,LOOKUP(2,1/($N$3:N350="龙"),ROW($N$3:N350))),IF(COUNTIF($N$3:N350,"蛇")=0,10^9,LOOKUP(2,1/($N$3:N350="蛇"),ROW($N$3:N350))),IF(COUNTIF($N$3:N350,"马")=0,10^9,LOOKUP(2,1/($N$3:N350="马"),ROW($N$3:N350))),IF(COUNTIF($N$3:N350,"羊")=0,10^9,LOOKUP(2,1/($N$3:N350="羊"),ROW($N$3:N350))),IF(COUNTIF($N$3:N350,"猴")=0,10^9,LOOKUP(2,1/($N$3:N350="猴"),ROW($N$3:N350))),IF(COUNTIF($N$3:N350,"鸡")=0,10^9,LOOKUP(2,1/($N$3:N350="鸡"),ROW($N$3:N350))),IF(COUNTIF($N$3:N350,"狗")=0,10^9,LOOKUP(2,1/($N$3:N350="狗"),ROW($N$3:N350))),IF(COUNTIF($N$3:N350,"猪")=0,10^9,LOOKUP(2,1/($N$3:N350="猪"),ROW($N$3:N350))))-ROW($N$3)+1),""))),0,IF(ISNUMBER(J350),J350+1,1)))</f>
        <v/>
      </c>
      <c r="K351" s="5" t="e">
        <f t="shared" si="36"/>
        <v>#N/A</v>
      </c>
      <c r="M351" s="6" t="str">
        <f t="shared" si="32"/>
        <v/>
      </c>
      <c r="N351" s="2" t="e">
        <f t="shared" si="33"/>
        <v>#N/A</v>
      </c>
      <c r="O351" s="7" t="str">
        <f>IF(M351="","",IF(COUNTIF(M352:$M$1000,M351)&gt;0,"",M351))</f>
        <v/>
      </c>
      <c r="P351" s="8" t="e">
        <f>IF(N351="","",IF(COUNTIF(N352:$N$1000,N351)&gt;0,"",N351))</f>
        <v>#N/A</v>
      </c>
      <c r="Q351" s="21" t="e">
        <f t="shared" si="34"/>
        <v>#NUM!</v>
      </c>
      <c r="R351" s="22" t="e">
        <f t="shared" si="35"/>
        <v>#NUM!</v>
      </c>
      <c r="S351" s="11"/>
      <c r="T351" s="11"/>
      <c r="U351" s="11"/>
      <c r="W351" s="11"/>
      <c r="X351" s="2"/>
      <c r="Y351" s="2"/>
    </row>
    <row r="352" s="1" customFormat="1" spans="1:25">
      <c r="A352" s="2">
        <v>115056987</v>
      </c>
      <c r="B352" s="2"/>
      <c r="C352" s="2"/>
      <c r="D352" s="2"/>
      <c r="E352" s="2"/>
      <c r="F352" s="2"/>
      <c r="G352" s="2"/>
      <c r="H352" s="3"/>
      <c r="I352" s="2" t="e">
        <f t="shared" si="31"/>
        <v>#N/A</v>
      </c>
      <c r="J352" s="4" t="str">
        <f>IF(H352="","",IF(OR(AND(M352&lt;&gt;"",M352=IFERROR(INDEX($M$3:M351,MIN(IF(COUNTIF($M$3:M351,"0")=0,10^9,LOOKUP(2,1/($M$3:M351="0"),ROW($M$3:M351))),IF(COUNTIF($M$3:M351,"1")=0,10^9,LOOKUP(2,1/($M$3:M351="1"),ROW($M$3:M351))),IF(COUNTIF($M$3:M351,"2")=0,10^9,LOOKUP(2,1/($M$3:M351="2"),ROW($M$3:M351))),IF(COUNTIF($M$3:M351,"3")=0,10^9,LOOKUP(2,1/($M$3:M351="3"),ROW($M$3:M351))),IF(COUNTIF($M$3:M351,"4")=0,10^9,LOOKUP(2,1/($M$3:M351="4"),ROW($M$3:M351))),IF(COUNTIF($M$3:M351,"5")=0,10^9,LOOKUP(2,1/($M$3:M351="5"),ROW($M$3:M351))),IF(COUNTIF($M$3:M351,"6")=0,10^9,LOOKUP(2,1/($M$3:M351="6"),ROW($M$3:M351))),IF(COUNTIF($M$3:M351,"7")=0,10^9,LOOKUP(2,1/($M$3:M351="7"),ROW($M$3:M351))),IF(COUNTIF($M$3:M351,"8")=0,10^9,LOOKUP(2,1/($M$3:M351="8"),ROW($M$3:M351))),IF(COUNTIF($M$3:M351,"9")=0,10^9,LOOKUP(2,1/($M$3:M351="9"),ROW($M$3:M351))))-ROW($M$3)+1),"")),AND(N352&lt;&gt;"",N352=IFERROR(INDEX($N$3:N351,MIN(IF(COUNTIF($N$3:N351,"鼠")=0,10^9,LOOKUP(2,1/($N$3:N351="鼠"),ROW($N$3:N351))),IF(COUNTIF($N$3:N351,"牛")=0,10^9,LOOKUP(2,1/($N$3:N351="牛"),ROW($N$3:N351))),IF(COUNTIF($N$3:N351,"虎")=0,10^9,LOOKUP(2,1/($N$3:N351="虎"),ROW($N$3:N351))),IF(COUNTIF($N$3:N351,"兔")=0,10^9,LOOKUP(2,1/($N$3:N351="兔"),ROW($N$3:N351))),IF(COUNTIF($N$3:N351,"龙")=0,10^9,LOOKUP(2,1/($N$3:N351="龙"),ROW($N$3:N351))),IF(COUNTIF($N$3:N351,"蛇")=0,10^9,LOOKUP(2,1/($N$3:N351="蛇"),ROW($N$3:N351))),IF(COUNTIF($N$3:N351,"马")=0,10^9,LOOKUP(2,1/($N$3:N351="马"),ROW($N$3:N351))),IF(COUNTIF($N$3:N351,"羊")=0,10^9,LOOKUP(2,1/($N$3:N351="羊"),ROW($N$3:N351))),IF(COUNTIF($N$3:N351,"猴")=0,10^9,LOOKUP(2,1/($N$3:N351="猴"),ROW($N$3:N351))),IF(COUNTIF($N$3:N351,"鸡")=0,10^9,LOOKUP(2,1/($N$3:N351="鸡"),ROW($N$3:N351))),IF(COUNTIF($N$3:N351,"狗")=0,10^9,LOOKUP(2,1/($N$3:N351="狗"),ROW($N$3:N351))),IF(COUNTIF($N$3:N351,"猪")=0,10^9,LOOKUP(2,1/($N$3:N351="猪"),ROW($N$3:N351))))-ROW($N$3)+1),""))),0,IF(ISNUMBER(J351),J351+1,1)))</f>
        <v/>
      </c>
      <c r="K352" s="5" t="e">
        <f t="shared" si="36"/>
        <v>#N/A</v>
      </c>
      <c r="M352" s="6" t="str">
        <f t="shared" si="32"/>
        <v/>
      </c>
      <c r="N352" s="2" t="e">
        <f t="shared" si="33"/>
        <v>#N/A</v>
      </c>
      <c r="O352" s="7" t="str">
        <f>IF(M352="","",IF(COUNTIF(M353:$M$1000,M352)&gt;0,"",M352))</f>
        <v/>
      </c>
      <c r="P352" s="8" t="e">
        <f>IF(N352="","",IF(COUNTIF(N353:$N$1000,N352)&gt;0,"",N352))</f>
        <v>#N/A</v>
      </c>
      <c r="Q352" s="21" t="e">
        <f t="shared" si="34"/>
        <v>#NUM!</v>
      </c>
      <c r="R352" s="22" t="e">
        <f t="shared" si="35"/>
        <v>#NUM!</v>
      </c>
      <c r="S352" s="11"/>
      <c r="T352" s="11"/>
      <c r="U352" s="11"/>
      <c r="W352" s="11"/>
      <c r="X352" s="2"/>
      <c r="Y352" s="2"/>
    </row>
    <row r="353" s="1" customFormat="1" spans="1:25">
      <c r="A353" s="2">
        <v>115056988</v>
      </c>
      <c r="B353" s="2"/>
      <c r="C353" s="2"/>
      <c r="D353" s="2"/>
      <c r="E353" s="2"/>
      <c r="F353" s="2"/>
      <c r="G353" s="2"/>
      <c r="H353" s="3"/>
      <c r="I353" s="2" t="e">
        <f t="shared" si="31"/>
        <v>#N/A</v>
      </c>
      <c r="J353" s="4" t="str">
        <f>IF(H353="","",IF(OR(AND(M353&lt;&gt;"",M353=IFERROR(INDEX($M$3:M352,MIN(IF(COUNTIF($M$3:M352,"0")=0,10^9,LOOKUP(2,1/($M$3:M352="0"),ROW($M$3:M352))),IF(COUNTIF($M$3:M352,"1")=0,10^9,LOOKUP(2,1/($M$3:M352="1"),ROW($M$3:M352))),IF(COUNTIF($M$3:M352,"2")=0,10^9,LOOKUP(2,1/($M$3:M352="2"),ROW($M$3:M352))),IF(COUNTIF($M$3:M352,"3")=0,10^9,LOOKUP(2,1/($M$3:M352="3"),ROW($M$3:M352))),IF(COUNTIF($M$3:M352,"4")=0,10^9,LOOKUP(2,1/($M$3:M352="4"),ROW($M$3:M352))),IF(COUNTIF($M$3:M352,"5")=0,10^9,LOOKUP(2,1/($M$3:M352="5"),ROW($M$3:M352))),IF(COUNTIF($M$3:M352,"6")=0,10^9,LOOKUP(2,1/($M$3:M352="6"),ROW($M$3:M352))),IF(COUNTIF($M$3:M352,"7")=0,10^9,LOOKUP(2,1/($M$3:M352="7"),ROW($M$3:M352))),IF(COUNTIF($M$3:M352,"8")=0,10^9,LOOKUP(2,1/($M$3:M352="8"),ROW($M$3:M352))),IF(COUNTIF($M$3:M352,"9")=0,10^9,LOOKUP(2,1/($M$3:M352="9"),ROW($M$3:M352))))-ROW($M$3)+1),"")),AND(N353&lt;&gt;"",N353=IFERROR(INDEX($N$3:N352,MIN(IF(COUNTIF($N$3:N352,"鼠")=0,10^9,LOOKUP(2,1/($N$3:N352="鼠"),ROW($N$3:N352))),IF(COUNTIF($N$3:N352,"牛")=0,10^9,LOOKUP(2,1/($N$3:N352="牛"),ROW($N$3:N352))),IF(COUNTIF($N$3:N352,"虎")=0,10^9,LOOKUP(2,1/($N$3:N352="虎"),ROW($N$3:N352))),IF(COUNTIF($N$3:N352,"兔")=0,10^9,LOOKUP(2,1/($N$3:N352="兔"),ROW($N$3:N352))),IF(COUNTIF($N$3:N352,"龙")=0,10^9,LOOKUP(2,1/($N$3:N352="龙"),ROW($N$3:N352))),IF(COUNTIF($N$3:N352,"蛇")=0,10^9,LOOKUP(2,1/($N$3:N352="蛇"),ROW($N$3:N352))),IF(COUNTIF($N$3:N352,"马")=0,10^9,LOOKUP(2,1/($N$3:N352="马"),ROW($N$3:N352))),IF(COUNTIF($N$3:N352,"羊")=0,10^9,LOOKUP(2,1/($N$3:N352="羊"),ROW($N$3:N352))),IF(COUNTIF($N$3:N352,"猴")=0,10^9,LOOKUP(2,1/($N$3:N352="猴"),ROW($N$3:N352))),IF(COUNTIF($N$3:N352,"鸡")=0,10^9,LOOKUP(2,1/($N$3:N352="鸡"),ROW($N$3:N352))),IF(COUNTIF($N$3:N352,"狗")=0,10^9,LOOKUP(2,1/($N$3:N352="狗"),ROW($N$3:N352))),IF(COUNTIF($N$3:N352,"猪")=0,10^9,LOOKUP(2,1/($N$3:N352="猪"),ROW($N$3:N352))))-ROW($N$3)+1),""))),0,IF(ISNUMBER(J352),J352+1,1)))</f>
        <v/>
      </c>
      <c r="K353" s="5" t="e">
        <f t="shared" si="36"/>
        <v>#N/A</v>
      </c>
      <c r="M353" s="6" t="str">
        <f t="shared" si="32"/>
        <v/>
      </c>
      <c r="N353" s="2" t="e">
        <f t="shared" si="33"/>
        <v>#N/A</v>
      </c>
      <c r="O353" s="7" t="str">
        <f>IF(M353="","",IF(COUNTIF(M354:$M$1000,M353)&gt;0,"",M353))</f>
        <v/>
      </c>
      <c r="P353" s="8" t="e">
        <f>IF(N353="","",IF(COUNTIF(N354:$N$1000,N353)&gt;0,"",N353))</f>
        <v>#N/A</v>
      </c>
      <c r="Q353" s="21" t="e">
        <f t="shared" si="34"/>
        <v>#NUM!</v>
      </c>
      <c r="R353" s="22" t="e">
        <f t="shared" si="35"/>
        <v>#NUM!</v>
      </c>
      <c r="S353" s="11"/>
      <c r="T353" s="11"/>
      <c r="U353" s="11"/>
      <c r="W353" s="11"/>
      <c r="X353" s="2"/>
      <c r="Y353" s="2"/>
    </row>
    <row r="354" s="1" customFormat="1" spans="1:25">
      <c r="A354" s="2">
        <v>115056989</v>
      </c>
      <c r="B354" s="2"/>
      <c r="C354" s="2"/>
      <c r="D354" s="2"/>
      <c r="E354" s="2"/>
      <c r="F354" s="2"/>
      <c r="G354" s="2"/>
      <c r="H354" s="3"/>
      <c r="I354" s="2" t="e">
        <f t="shared" si="31"/>
        <v>#N/A</v>
      </c>
      <c r="J354" s="4" t="str">
        <f>IF(H354="","",IF(OR(AND(M354&lt;&gt;"",M354=IFERROR(INDEX($M$3:M353,MIN(IF(COUNTIF($M$3:M353,"0")=0,10^9,LOOKUP(2,1/($M$3:M353="0"),ROW($M$3:M353))),IF(COUNTIF($M$3:M353,"1")=0,10^9,LOOKUP(2,1/($M$3:M353="1"),ROW($M$3:M353))),IF(COUNTIF($M$3:M353,"2")=0,10^9,LOOKUP(2,1/($M$3:M353="2"),ROW($M$3:M353))),IF(COUNTIF($M$3:M353,"3")=0,10^9,LOOKUP(2,1/($M$3:M353="3"),ROW($M$3:M353))),IF(COUNTIF($M$3:M353,"4")=0,10^9,LOOKUP(2,1/($M$3:M353="4"),ROW($M$3:M353))),IF(COUNTIF($M$3:M353,"5")=0,10^9,LOOKUP(2,1/($M$3:M353="5"),ROW($M$3:M353))),IF(COUNTIF($M$3:M353,"6")=0,10^9,LOOKUP(2,1/($M$3:M353="6"),ROW($M$3:M353))),IF(COUNTIF($M$3:M353,"7")=0,10^9,LOOKUP(2,1/($M$3:M353="7"),ROW($M$3:M353))),IF(COUNTIF($M$3:M353,"8")=0,10^9,LOOKUP(2,1/($M$3:M353="8"),ROW($M$3:M353))),IF(COUNTIF($M$3:M353,"9")=0,10^9,LOOKUP(2,1/($M$3:M353="9"),ROW($M$3:M353))))-ROW($M$3)+1),"")),AND(N354&lt;&gt;"",N354=IFERROR(INDEX($N$3:N353,MIN(IF(COUNTIF($N$3:N353,"鼠")=0,10^9,LOOKUP(2,1/($N$3:N353="鼠"),ROW($N$3:N353))),IF(COUNTIF($N$3:N353,"牛")=0,10^9,LOOKUP(2,1/($N$3:N353="牛"),ROW($N$3:N353))),IF(COUNTIF($N$3:N353,"虎")=0,10^9,LOOKUP(2,1/($N$3:N353="虎"),ROW($N$3:N353))),IF(COUNTIF($N$3:N353,"兔")=0,10^9,LOOKUP(2,1/($N$3:N353="兔"),ROW($N$3:N353))),IF(COUNTIF($N$3:N353,"龙")=0,10^9,LOOKUP(2,1/($N$3:N353="龙"),ROW($N$3:N353))),IF(COUNTIF($N$3:N353,"蛇")=0,10^9,LOOKUP(2,1/($N$3:N353="蛇"),ROW($N$3:N353))),IF(COUNTIF($N$3:N353,"马")=0,10^9,LOOKUP(2,1/($N$3:N353="马"),ROW($N$3:N353))),IF(COUNTIF($N$3:N353,"羊")=0,10^9,LOOKUP(2,1/($N$3:N353="羊"),ROW($N$3:N353))),IF(COUNTIF($N$3:N353,"猴")=0,10^9,LOOKUP(2,1/($N$3:N353="猴"),ROW($N$3:N353))),IF(COUNTIF($N$3:N353,"鸡")=0,10^9,LOOKUP(2,1/($N$3:N353="鸡"),ROW($N$3:N353))),IF(COUNTIF($N$3:N353,"狗")=0,10^9,LOOKUP(2,1/($N$3:N353="狗"),ROW($N$3:N353))),IF(COUNTIF($N$3:N353,"猪")=0,10^9,LOOKUP(2,1/($N$3:N353="猪"),ROW($N$3:N353))))-ROW($N$3)+1),""))),0,IF(ISNUMBER(J353),J353+1,1)))</f>
        <v/>
      </c>
      <c r="K354" s="5" t="e">
        <f t="shared" si="36"/>
        <v>#N/A</v>
      </c>
      <c r="M354" s="6" t="str">
        <f t="shared" si="32"/>
        <v/>
      </c>
      <c r="N354" s="2" t="e">
        <f t="shared" si="33"/>
        <v>#N/A</v>
      </c>
      <c r="O354" s="7" t="str">
        <f>IF(M354="","",IF(COUNTIF(M355:$M$1000,M354)&gt;0,"",M354))</f>
        <v/>
      </c>
      <c r="P354" s="8" t="e">
        <f>IF(N354="","",IF(COUNTIF(N355:$N$1000,N354)&gt;0,"",N354))</f>
        <v>#N/A</v>
      </c>
      <c r="Q354" s="21" t="e">
        <f t="shared" si="34"/>
        <v>#NUM!</v>
      </c>
      <c r="R354" s="22" t="e">
        <f t="shared" si="35"/>
        <v>#NUM!</v>
      </c>
      <c r="S354" s="11"/>
      <c r="T354" s="11"/>
      <c r="U354" s="11"/>
      <c r="W354" s="11"/>
      <c r="X354" s="2"/>
      <c r="Y354" s="2"/>
    </row>
    <row r="355" s="1" customFormat="1" spans="1:25">
      <c r="A355" s="2">
        <v>115056990</v>
      </c>
      <c r="B355" s="2"/>
      <c r="C355" s="2"/>
      <c r="D355" s="2"/>
      <c r="E355" s="2"/>
      <c r="F355" s="2"/>
      <c r="G355" s="2"/>
      <c r="H355" s="3"/>
      <c r="I355" s="2" t="e">
        <f t="shared" si="31"/>
        <v>#N/A</v>
      </c>
      <c r="J355" s="4" t="str">
        <f>IF(H355="","",IF(OR(AND(M355&lt;&gt;"",M355=IFERROR(INDEX($M$3:M354,MIN(IF(COUNTIF($M$3:M354,"0")=0,10^9,LOOKUP(2,1/($M$3:M354="0"),ROW($M$3:M354))),IF(COUNTIF($M$3:M354,"1")=0,10^9,LOOKUP(2,1/($M$3:M354="1"),ROW($M$3:M354))),IF(COUNTIF($M$3:M354,"2")=0,10^9,LOOKUP(2,1/($M$3:M354="2"),ROW($M$3:M354))),IF(COUNTIF($M$3:M354,"3")=0,10^9,LOOKUP(2,1/($M$3:M354="3"),ROW($M$3:M354))),IF(COUNTIF($M$3:M354,"4")=0,10^9,LOOKUP(2,1/($M$3:M354="4"),ROW($M$3:M354))),IF(COUNTIF($M$3:M354,"5")=0,10^9,LOOKUP(2,1/($M$3:M354="5"),ROW($M$3:M354))),IF(COUNTIF($M$3:M354,"6")=0,10^9,LOOKUP(2,1/($M$3:M354="6"),ROW($M$3:M354))),IF(COUNTIF($M$3:M354,"7")=0,10^9,LOOKUP(2,1/($M$3:M354="7"),ROW($M$3:M354))),IF(COUNTIF($M$3:M354,"8")=0,10^9,LOOKUP(2,1/($M$3:M354="8"),ROW($M$3:M354))),IF(COUNTIF($M$3:M354,"9")=0,10^9,LOOKUP(2,1/($M$3:M354="9"),ROW($M$3:M354))))-ROW($M$3)+1),"")),AND(N355&lt;&gt;"",N355=IFERROR(INDEX($N$3:N354,MIN(IF(COUNTIF($N$3:N354,"鼠")=0,10^9,LOOKUP(2,1/($N$3:N354="鼠"),ROW($N$3:N354))),IF(COUNTIF($N$3:N354,"牛")=0,10^9,LOOKUP(2,1/($N$3:N354="牛"),ROW($N$3:N354))),IF(COUNTIF($N$3:N354,"虎")=0,10^9,LOOKUP(2,1/($N$3:N354="虎"),ROW($N$3:N354))),IF(COUNTIF($N$3:N354,"兔")=0,10^9,LOOKUP(2,1/($N$3:N354="兔"),ROW($N$3:N354))),IF(COUNTIF($N$3:N354,"龙")=0,10^9,LOOKUP(2,1/($N$3:N354="龙"),ROW($N$3:N354))),IF(COUNTIF($N$3:N354,"蛇")=0,10^9,LOOKUP(2,1/($N$3:N354="蛇"),ROW($N$3:N354))),IF(COUNTIF($N$3:N354,"马")=0,10^9,LOOKUP(2,1/($N$3:N354="马"),ROW($N$3:N354))),IF(COUNTIF($N$3:N354,"羊")=0,10^9,LOOKUP(2,1/($N$3:N354="羊"),ROW($N$3:N354))),IF(COUNTIF($N$3:N354,"猴")=0,10^9,LOOKUP(2,1/($N$3:N354="猴"),ROW($N$3:N354))),IF(COUNTIF($N$3:N354,"鸡")=0,10^9,LOOKUP(2,1/($N$3:N354="鸡"),ROW($N$3:N354))),IF(COUNTIF($N$3:N354,"狗")=0,10^9,LOOKUP(2,1/($N$3:N354="狗"),ROW($N$3:N354))),IF(COUNTIF($N$3:N354,"猪")=0,10^9,LOOKUP(2,1/($N$3:N354="猪"),ROW($N$3:N354))))-ROW($N$3)+1),""))),0,IF(ISNUMBER(J354),J354+1,1)))</f>
        <v/>
      </c>
      <c r="K355" s="5" t="e">
        <f t="shared" si="36"/>
        <v>#N/A</v>
      </c>
      <c r="M355" s="6" t="str">
        <f t="shared" si="32"/>
        <v/>
      </c>
      <c r="N355" s="2" t="e">
        <f t="shared" si="33"/>
        <v>#N/A</v>
      </c>
      <c r="O355" s="7" t="str">
        <f>IF(M355="","",IF(COUNTIF(M356:$M$1000,M355)&gt;0,"",M355))</f>
        <v/>
      </c>
      <c r="P355" s="8" t="e">
        <f>IF(N355="","",IF(COUNTIF(N356:$N$1000,N355)&gt;0,"",N355))</f>
        <v>#N/A</v>
      </c>
      <c r="Q355" s="21" t="e">
        <f t="shared" si="34"/>
        <v>#NUM!</v>
      </c>
      <c r="R355" s="22" t="e">
        <f t="shared" si="35"/>
        <v>#NUM!</v>
      </c>
      <c r="S355" s="11"/>
      <c r="T355" s="11"/>
      <c r="U355" s="11"/>
      <c r="W355" s="11"/>
      <c r="X355" s="2"/>
      <c r="Y355" s="2"/>
    </row>
    <row r="356" s="1" customFormat="1" spans="1:25">
      <c r="A356" s="2">
        <v>115056991</v>
      </c>
      <c r="B356" s="2"/>
      <c r="C356" s="2"/>
      <c r="D356" s="2"/>
      <c r="E356" s="2"/>
      <c r="F356" s="2"/>
      <c r="G356" s="2"/>
      <c r="H356" s="3"/>
      <c r="I356" s="2" t="e">
        <f t="shared" si="31"/>
        <v>#N/A</v>
      </c>
      <c r="J356" s="4" t="str">
        <f>IF(H356="","",IF(OR(AND(M356&lt;&gt;"",M356=IFERROR(INDEX($M$3:M355,MIN(IF(COUNTIF($M$3:M355,"0")=0,10^9,LOOKUP(2,1/($M$3:M355="0"),ROW($M$3:M355))),IF(COUNTIF($M$3:M355,"1")=0,10^9,LOOKUP(2,1/($M$3:M355="1"),ROW($M$3:M355))),IF(COUNTIF($M$3:M355,"2")=0,10^9,LOOKUP(2,1/($M$3:M355="2"),ROW($M$3:M355))),IF(COUNTIF($M$3:M355,"3")=0,10^9,LOOKUP(2,1/($M$3:M355="3"),ROW($M$3:M355))),IF(COUNTIF($M$3:M355,"4")=0,10^9,LOOKUP(2,1/($M$3:M355="4"),ROW($M$3:M355))),IF(COUNTIF($M$3:M355,"5")=0,10^9,LOOKUP(2,1/($M$3:M355="5"),ROW($M$3:M355))),IF(COUNTIF($M$3:M355,"6")=0,10^9,LOOKUP(2,1/($M$3:M355="6"),ROW($M$3:M355))),IF(COUNTIF($M$3:M355,"7")=0,10^9,LOOKUP(2,1/($M$3:M355="7"),ROW($M$3:M355))),IF(COUNTIF($M$3:M355,"8")=0,10^9,LOOKUP(2,1/($M$3:M355="8"),ROW($M$3:M355))),IF(COUNTIF($M$3:M355,"9")=0,10^9,LOOKUP(2,1/($M$3:M355="9"),ROW($M$3:M355))))-ROW($M$3)+1),"")),AND(N356&lt;&gt;"",N356=IFERROR(INDEX($N$3:N355,MIN(IF(COUNTIF($N$3:N355,"鼠")=0,10^9,LOOKUP(2,1/($N$3:N355="鼠"),ROW($N$3:N355))),IF(COUNTIF($N$3:N355,"牛")=0,10^9,LOOKUP(2,1/($N$3:N355="牛"),ROW($N$3:N355))),IF(COUNTIF($N$3:N355,"虎")=0,10^9,LOOKUP(2,1/($N$3:N355="虎"),ROW($N$3:N355))),IF(COUNTIF($N$3:N355,"兔")=0,10^9,LOOKUP(2,1/($N$3:N355="兔"),ROW($N$3:N355))),IF(COUNTIF($N$3:N355,"龙")=0,10^9,LOOKUP(2,1/($N$3:N355="龙"),ROW($N$3:N355))),IF(COUNTIF($N$3:N355,"蛇")=0,10^9,LOOKUP(2,1/($N$3:N355="蛇"),ROW($N$3:N355))),IF(COUNTIF($N$3:N355,"马")=0,10^9,LOOKUP(2,1/($N$3:N355="马"),ROW($N$3:N355))),IF(COUNTIF($N$3:N355,"羊")=0,10^9,LOOKUP(2,1/($N$3:N355="羊"),ROW($N$3:N355))),IF(COUNTIF($N$3:N355,"猴")=0,10^9,LOOKUP(2,1/($N$3:N355="猴"),ROW($N$3:N355))),IF(COUNTIF($N$3:N355,"鸡")=0,10^9,LOOKUP(2,1/($N$3:N355="鸡"),ROW($N$3:N355))),IF(COUNTIF($N$3:N355,"狗")=0,10^9,LOOKUP(2,1/($N$3:N355="狗"),ROW($N$3:N355))),IF(COUNTIF($N$3:N355,"猪")=0,10^9,LOOKUP(2,1/($N$3:N355="猪"),ROW($N$3:N355))))-ROW($N$3)+1),""))),0,IF(ISNUMBER(J355),J355+1,1)))</f>
        <v/>
      </c>
      <c r="K356" s="5" t="e">
        <f t="shared" si="36"/>
        <v>#N/A</v>
      </c>
      <c r="M356" s="6" t="str">
        <f t="shared" si="32"/>
        <v/>
      </c>
      <c r="N356" s="2" t="e">
        <f t="shared" si="33"/>
        <v>#N/A</v>
      </c>
      <c r="O356" s="7" t="str">
        <f>IF(M356="","",IF(COUNTIF(M357:$M$1000,M356)&gt;0,"",M356))</f>
        <v/>
      </c>
      <c r="P356" s="8" t="e">
        <f>IF(N356="","",IF(COUNTIF(N357:$N$1000,N356)&gt;0,"",N356))</f>
        <v>#N/A</v>
      </c>
      <c r="Q356" s="21" t="e">
        <f t="shared" si="34"/>
        <v>#NUM!</v>
      </c>
      <c r="R356" s="22" t="e">
        <f t="shared" si="35"/>
        <v>#NUM!</v>
      </c>
      <c r="S356" s="11"/>
      <c r="T356" s="11"/>
      <c r="U356" s="11"/>
      <c r="W356" s="11"/>
      <c r="X356" s="2"/>
      <c r="Y356" s="2"/>
    </row>
    <row r="357" s="1" customFormat="1" spans="1:25">
      <c r="A357" s="2">
        <v>115056992</v>
      </c>
      <c r="B357" s="2"/>
      <c r="C357" s="2"/>
      <c r="D357" s="2"/>
      <c r="E357" s="2"/>
      <c r="F357" s="2"/>
      <c r="G357" s="2"/>
      <c r="H357" s="3"/>
      <c r="I357" s="2" t="e">
        <f t="shared" si="31"/>
        <v>#N/A</v>
      </c>
      <c r="J357" s="4" t="str">
        <f>IF(H357="","",IF(OR(AND(M357&lt;&gt;"",M357=IFERROR(INDEX($M$3:M356,MIN(IF(COUNTIF($M$3:M356,"0")=0,10^9,LOOKUP(2,1/($M$3:M356="0"),ROW($M$3:M356))),IF(COUNTIF($M$3:M356,"1")=0,10^9,LOOKUP(2,1/($M$3:M356="1"),ROW($M$3:M356))),IF(COUNTIF($M$3:M356,"2")=0,10^9,LOOKUP(2,1/($M$3:M356="2"),ROW($M$3:M356))),IF(COUNTIF($M$3:M356,"3")=0,10^9,LOOKUP(2,1/($M$3:M356="3"),ROW($M$3:M356))),IF(COUNTIF($M$3:M356,"4")=0,10^9,LOOKUP(2,1/($M$3:M356="4"),ROW($M$3:M356))),IF(COUNTIF($M$3:M356,"5")=0,10^9,LOOKUP(2,1/($M$3:M356="5"),ROW($M$3:M356))),IF(COUNTIF($M$3:M356,"6")=0,10^9,LOOKUP(2,1/($M$3:M356="6"),ROW($M$3:M356))),IF(COUNTIF($M$3:M356,"7")=0,10^9,LOOKUP(2,1/($M$3:M356="7"),ROW($M$3:M356))),IF(COUNTIF($M$3:M356,"8")=0,10^9,LOOKUP(2,1/($M$3:M356="8"),ROW($M$3:M356))),IF(COUNTIF($M$3:M356,"9")=0,10^9,LOOKUP(2,1/($M$3:M356="9"),ROW($M$3:M356))))-ROW($M$3)+1),"")),AND(N357&lt;&gt;"",N357=IFERROR(INDEX($N$3:N356,MIN(IF(COUNTIF($N$3:N356,"鼠")=0,10^9,LOOKUP(2,1/($N$3:N356="鼠"),ROW($N$3:N356))),IF(COUNTIF($N$3:N356,"牛")=0,10^9,LOOKUP(2,1/($N$3:N356="牛"),ROW($N$3:N356))),IF(COUNTIF($N$3:N356,"虎")=0,10^9,LOOKUP(2,1/($N$3:N356="虎"),ROW($N$3:N356))),IF(COUNTIF($N$3:N356,"兔")=0,10^9,LOOKUP(2,1/($N$3:N356="兔"),ROW($N$3:N356))),IF(COUNTIF($N$3:N356,"龙")=0,10^9,LOOKUP(2,1/($N$3:N356="龙"),ROW($N$3:N356))),IF(COUNTIF($N$3:N356,"蛇")=0,10^9,LOOKUP(2,1/($N$3:N356="蛇"),ROW($N$3:N356))),IF(COUNTIF($N$3:N356,"马")=0,10^9,LOOKUP(2,1/($N$3:N356="马"),ROW($N$3:N356))),IF(COUNTIF($N$3:N356,"羊")=0,10^9,LOOKUP(2,1/($N$3:N356="羊"),ROW($N$3:N356))),IF(COUNTIF($N$3:N356,"猴")=0,10^9,LOOKUP(2,1/($N$3:N356="猴"),ROW($N$3:N356))),IF(COUNTIF($N$3:N356,"鸡")=0,10^9,LOOKUP(2,1/($N$3:N356="鸡"),ROW($N$3:N356))),IF(COUNTIF($N$3:N356,"狗")=0,10^9,LOOKUP(2,1/($N$3:N356="狗"),ROW($N$3:N356))),IF(COUNTIF($N$3:N356,"猪")=0,10^9,LOOKUP(2,1/($N$3:N356="猪"),ROW($N$3:N356))))-ROW($N$3)+1),""))),0,IF(ISNUMBER(J356),J356+1,1)))</f>
        <v/>
      </c>
      <c r="K357" s="5" t="e">
        <f t="shared" si="36"/>
        <v>#N/A</v>
      </c>
      <c r="M357" s="6" t="str">
        <f t="shared" si="32"/>
        <v/>
      </c>
      <c r="N357" s="2" t="e">
        <f t="shared" si="33"/>
        <v>#N/A</v>
      </c>
      <c r="O357" s="7" t="str">
        <f>IF(M357="","",IF(COUNTIF(M358:$M$1000,M357)&gt;0,"",M357))</f>
        <v/>
      </c>
      <c r="P357" s="8" t="e">
        <f>IF(N357="","",IF(COUNTIF(N358:$N$1000,N357)&gt;0,"",N357))</f>
        <v>#N/A</v>
      </c>
      <c r="Q357" s="21" t="e">
        <f t="shared" si="34"/>
        <v>#NUM!</v>
      </c>
      <c r="R357" s="22" t="e">
        <f t="shared" si="35"/>
        <v>#NUM!</v>
      </c>
      <c r="S357" s="11"/>
      <c r="T357" s="11"/>
      <c r="U357" s="11"/>
      <c r="W357" s="11"/>
      <c r="X357" s="2"/>
      <c r="Y357" s="2"/>
    </row>
    <row r="358" s="1" customFormat="1" spans="1:25">
      <c r="A358" s="2">
        <v>115056993</v>
      </c>
      <c r="B358" s="2"/>
      <c r="C358" s="2"/>
      <c r="D358" s="2"/>
      <c r="E358" s="2"/>
      <c r="F358" s="2"/>
      <c r="G358" s="2"/>
      <c r="H358" s="3"/>
      <c r="I358" s="2" t="e">
        <f t="shared" si="31"/>
        <v>#N/A</v>
      </c>
      <c r="J358" s="4" t="str">
        <f>IF(H358="","",IF(OR(AND(M358&lt;&gt;"",M358=IFERROR(INDEX($M$3:M357,MIN(IF(COUNTIF($M$3:M357,"0")=0,10^9,LOOKUP(2,1/($M$3:M357="0"),ROW($M$3:M357))),IF(COUNTIF($M$3:M357,"1")=0,10^9,LOOKUP(2,1/($M$3:M357="1"),ROW($M$3:M357))),IF(COUNTIF($M$3:M357,"2")=0,10^9,LOOKUP(2,1/($M$3:M357="2"),ROW($M$3:M357))),IF(COUNTIF($M$3:M357,"3")=0,10^9,LOOKUP(2,1/($M$3:M357="3"),ROW($M$3:M357))),IF(COUNTIF($M$3:M357,"4")=0,10^9,LOOKUP(2,1/($M$3:M357="4"),ROW($M$3:M357))),IF(COUNTIF($M$3:M357,"5")=0,10^9,LOOKUP(2,1/($M$3:M357="5"),ROW($M$3:M357))),IF(COUNTIF($M$3:M357,"6")=0,10^9,LOOKUP(2,1/($M$3:M357="6"),ROW($M$3:M357))),IF(COUNTIF($M$3:M357,"7")=0,10^9,LOOKUP(2,1/($M$3:M357="7"),ROW($M$3:M357))),IF(COUNTIF($M$3:M357,"8")=0,10^9,LOOKUP(2,1/($M$3:M357="8"),ROW($M$3:M357))),IF(COUNTIF($M$3:M357,"9")=0,10^9,LOOKUP(2,1/($M$3:M357="9"),ROW($M$3:M357))))-ROW($M$3)+1),"")),AND(N358&lt;&gt;"",N358=IFERROR(INDEX($N$3:N357,MIN(IF(COUNTIF($N$3:N357,"鼠")=0,10^9,LOOKUP(2,1/($N$3:N357="鼠"),ROW($N$3:N357))),IF(COUNTIF($N$3:N357,"牛")=0,10^9,LOOKUP(2,1/($N$3:N357="牛"),ROW($N$3:N357))),IF(COUNTIF($N$3:N357,"虎")=0,10^9,LOOKUP(2,1/($N$3:N357="虎"),ROW($N$3:N357))),IF(COUNTIF($N$3:N357,"兔")=0,10^9,LOOKUP(2,1/($N$3:N357="兔"),ROW($N$3:N357))),IF(COUNTIF($N$3:N357,"龙")=0,10^9,LOOKUP(2,1/($N$3:N357="龙"),ROW($N$3:N357))),IF(COUNTIF($N$3:N357,"蛇")=0,10^9,LOOKUP(2,1/($N$3:N357="蛇"),ROW($N$3:N357))),IF(COUNTIF($N$3:N357,"马")=0,10^9,LOOKUP(2,1/($N$3:N357="马"),ROW($N$3:N357))),IF(COUNTIF($N$3:N357,"羊")=0,10^9,LOOKUP(2,1/($N$3:N357="羊"),ROW($N$3:N357))),IF(COUNTIF($N$3:N357,"猴")=0,10^9,LOOKUP(2,1/($N$3:N357="猴"),ROW($N$3:N357))),IF(COUNTIF($N$3:N357,"鸡")=0,10^9,LOOKUP(2,1/($N$3:N357="鸡"),ROW($N$3:N357))),IF(COUNTIF($N$3:N357,"狗")=0,10^9,LOOKUP(2,1/($N$3:N357="狗"),ROW($N$3:N357))),IF(COUNTIF($N$3:N357,"猪")=0,10^9,LOOKUP(2,1/($N$3:N357="猪"),ROW($N$3:N357))))-ROW($N$3)+1),""))),0,IF(ISNUMBER(J357),J357+1,1)))</f>
        <v/>
      </c>
      <c r="K358" s="5" t="e">
        <f t="shared" si="36"/>
        <v>#N/A</v>
      </c>
      <c r="M358" s="6" t="str">
        <f t="shared" si="32"/>
        <v/>
      </c>
      <c r="N358" s="2" t="e">
        <f t="shared" si="33"/>
        <v>#N/A</v>
      </c>
      <c r="O358" s="7" t="str">
        <f>IF(M358="","",IF(COUNTIF(M359:$M$1000,M358)&gt;0,"",M358))</f>
        <v/>
      </c>
      <c r="P358" s="8" t="e">
        <f>IF(N358="","",IF(COUNTIF(N359:$N$1000,N358)&gt;0,"",N358))</f>
        <v>#N/A</v>
      </c>
      <c r="Q358" s="21" t="e">
        <f t="shared" si="34"/>
        <v>#NUM!</v>
      </c>
      <c r="R358" s="22" t="e">
        <f t="shared" si="35"/>
        <v>#NUM!</v>
      </c>
      <c r="S358" s="11"/>
      <c r="T358" s="11"/>
      <c r="U358" s="11"/>
      <c r="W358" s="11"/>
      <c r="X358" s="2"/>
      <c r="Y358" s="2"/>
    </row>
    <row r="359" s="1" customFormat="1" spans="1:25">
      <c r="A359" s="2">
        <v>115056994</v>
      </c>
      <c r="B359" s="2"/>
      <c r="C359" s="2"/>
      <c r="D359" s="2"/>
      <c r="E359" s="2"/>
      <c r="F359" s="2"/>
      <c r="G359" s="2"/>
      <c r="H359" s="3"/>
      <c r="I359" s="2" t="e">
        <f t="shared" si="31"/>
        <v>#N/A</v>
      </c>
      <c r="J359" s="4" t="str">
        <f>IF(H359="","",IF(OR(AND(M359&lt;&gt;"",M359=IFERROR(INDEX($M$3:M358,MIN(IF(COUNTIF($M$3:M358,"0")=0,10^9,LOOKUP(2,1/($M$3:M358="0"),ROW($M$3:M358))),IF(COUNTIF($M$3:M358,"1")=0,10^9,LOOKUP(2,1/($M$3:M358="1"),ROW($M$3:M358))),IF(COUNTIF($M$3:M358,"2")=0,10^9,LOOKUP(2,1/($M$3:M358="2"),ROW($M$3:M358))),IF(COUNTIF($M$3:M358,"3")=0,10^9,LOOKUP(2,1/($M$3:M358="3"),ROW($M$3:M358))),IF(COUNTIF($M$3:M358,"4")=0,10^9,LOOKUP(2,1/($M$3:M358="4"),ROW($M$3:M358))),IF(COUNTIF($M$3:M358,"5")=0,10^9,LOOKUP(2,1/($M$3:M358="5"),ROW($M$3:M358))),IF(COUNTIF($M$3:M358,"6")=0,10^9,LOOKUP(2,1/($M$3:M358="6"),ROW($M$3:M358))),IF(COUNTIF($M$3:M358,"7")=0,10^9,LOOKUP(2,1/($M$3:M358="7"),ROW($M$3:M358))),IF(COUNTIF($M$3:M358,"8")=0,10^9,LOOKUP(2,1/($M$3:M358="8"),ROW($M$3:M358))),IF(COUNTIF($M$3:M358,"9")=0,10^9,LOOKUP(2,1/($M$3:M358="9"),ROW($M$3:M358))))-ROW($M$3)+1),"")),AND(N359&lt;&gt;"",N359=IFERROR(INDEX($N$3:N358,MIN(IF(COUNTIF($N$3:N358,"鼠")=0,10^9,LOOKUP(2,1/($N$3:N358="鼠"),ROW($N$3:N358))),IF(COUNTIF($N$3:N358,"牛")=0,10^9,LOOKUP(2,1/($N$3:N358="牛"),ROW($N$3:N358))),IF(COUNTIF($N$3:N358,"虎")=0,10^9,LOOKUP(2,1/($N$3:N358="虎"),ROW($N$3:N358))),IF(COUNTIF($N$3:N358,"兔")=0,10^9,LOOKUP(2,1/($N$3:N358="兔"),ROW($N$3:N358))),IF(COUNTIF($N$3:N358,"龙")=0,10^9,LOOKUP(2,1/($N$3:N358="龙"),ROW($N$3:N358))),IF(COUNTIF($N$3:N358,"蛇")=0,10^9,LOOKUP(2,1/($N$3:N358="蛇"),ROW($N$3:N358))),IF(COUNTIF($N$3:N358,"马")=0,10^9,LOOKUP(2,1/($N$3:N358="马"),ROW($N$3:N358))),IF(COUNTIF($N$3:N358,"羊")=0,10^9,LOOKUP(2,1/($N$3:N358="羊"),ROW($N$3:N358))),IF(COUNTIF($N$3:N358,"猴")=0,10^9,LOOKUP(2,1/($N$3:N358="猴"),ROW($N$3:N358))),IF(COUNTIF($N$3:N358,"鸡")=0,10^9,LOOKUP(2,1/($N$3:N358="鸡"),ROW($N$3:N358))),IF(COUNTIF($N$3:N358,"狗")=0,10^9,LOOKUP(2,1/($N$3:N358="狗"),ROW($N$3:N358))),IF(COUNTIF($N$3:N358,"猪")=0,10^9,LOOKUP(2,1/($N$3:N358="猪"),ROW($N$3:N358))))-ROW($N$3)+1),""))),0,IF(ISNUMBER(J358),J358+1,1)))</f>
        <v/>
      </c>
      <c r="K359" s="5" t="e">
        <f t="shared" si="36"/>
        <v>#N/A</v>
      </c>
      <c r="M359" s="6" t="str">
        <f t="shared" si="32"/>
        <v/>
      </c>
      <c r="N359" s="2" t="e">
        <f t="shared" si="33"/>
        <v>#N/A</v>
      </c>
      <c r="O359" s="7" t="str">
        <f>IF(M359="","",IF(COUNTIF(M360:$M$1000,M359)&gt;0,"",M359))</f>
        <v/>
      </c>
      <c r="P359" s="8" t="e">
        <f>IF(N359="","",IF(COUNTIF(N360:$N$1000,N359)&gt;0,"",N359))</f>
        <v>#N/A</v>
      </c>
      <c r="Q359" s="21" t="e">
        <f t="shared" si="34"/>
        <v>#NUM!</v>
      </c>
      <c r="R359" s="22" t="e">
        <f t="shared" si="35"/>
        <v>#NUM!</v>
      </c>
      <c r="S359" s="11"/>
      <c r="T359" s="11"/>
      <c r="U359" s="11"/>
      <c r="W359" s="11"/>
      <c r="X359" s="2"/>
      <c r="Y359" s="2"/>
    </row>
    <row r="360" s="1" customFormat="1" spans="1:25">
      <c r="A360" s="2">
        <v>115056995</v>
      </c>
      <c r="B360" s="2"/>
      <c r="C360" s="2"/>
      <c r="D360" s="2"/>
      <c r="E360" s="2"/>
      <c r="F360" s="2"/>
      <c r="G360" s="2"/>
      <c r="H360" s="3"/>
      <c r="I360" s="2" t="e">
        <f t="shared" si="31"/>
        <v>#N/A</v>
      </c>
      <c r="J360" s="4" t="str">
        <f>IF(H360="","",IF(OR(AND(M360&lt;&gt;"",M360=IFERROR(INDEX($M$3:M359,MIN(IF(COUNTIF($M$3:M359,"0")=0,10^9,LOOKUP(2,1/($M$3:M359="0"),ROW($M$3:M359))),IF(COUNTIF($M$3:M359,"1")=0,10^9,LOOKUP(2,1/($M$3:M359="1"),ROW($M$3:M359))),IF(COUNTIF($M$3:M359,"2")=0,10^9,LOOKUP(2,1/($M$3:M359="2"),ROW($M$3:M359))),IF(COUNTIF($M$3:M359,"3")=0,10^9,LOOKUP(2,1/($M$3:M359="3"),ROW($M$3:M359))),IF(COUNTIF($M$3:M359,"4")=0,10^9,LOOKUP(2,1/($M$3:M359="4"),ROW($M$3:M359))),IF(COUNTIF($M$3:M359,"5")=0,10^9,LOOKUP(2,1/($M$3:M359="5"),ROW($M$3:M359))),IF(COUNTIF($M$3:M359,"6")=0,10^9,LOOKUP(2,1/($M$3:M359="6"),ROW($M$3:M359))),IF(COUNTIF($M$3:M359,"7")=0,10^9,LOOKUP(2,1/($M$3:M359="7"),ROW($M$3:M359))),IF(COUNTIF($M$3:M359,"8")=0,10^9,LOOKUP(2,1/($M$3:M359="8"),ROW($M$3:M359))),IF(COUNTIF($M$3:M359,"9")=0,10^9,LOOKUP(2,1/($M$3:M359="9"),ROW($M$3:M359))))-ROW($M$3)+1),"")),AND(N360&lt;&gt;"",N360=IFERROR(INDEX($N$3:N359,MIN(IF(COUNTIF($N$3:N359,"鼠")=0,10^9,LOOKUP(2,1/($N$3:N359="鼠"),ROW($N$3:N359))),IF(COUNTIF($N$3:N359,"牛")=0,10^9,LOOKUP(2,1/($N$3:N359="牛"),ROW($N$3:N359))),IF(COUNTIF($N$3:N359,"虎")=0,10^9,LOOKUP(2,1/($N$3:N359="虎"),ROW($N$3:N359))),IF(COUNTIF($N$3:N359,"兔")=0,10^9,LOOKUP(2,1/($N$3:N359="兔"),ROW($N$3:N359))),IF(COUNTIF($N$3:N359,"龙")=0,10^9,LOOKUP(2,1/($N$3:N359="龙"),ROW($N$3:N359))),IF(COUNTIF($N$3:N359,"蛇")=0,10^9,LOOKUP(2,1/($N$3:N359="蛇"),ROW($N$3:N359))),IF(COUNTIF($N$3:N359,"马")=0,10^9,LOOKUP(2,1/($N$3:N359="马"),ROW($N$3:N359))),IF(COUNTIF($N$3:N359,"羊")=0,10^9,LOOKUP(2,1/($N$3:N359="羊"),ROW($N$3:N359))),IF(COUNTIF($N$3:N359,"猴")=0,10^9,LOOKUP(2,1/($N$3:N359="猴"),ROW($N$3:N359))),IF(COUNTIF($N$3:N359,"鸡")=0,10^9,LOOKUP(2,1/($N$3:N359="鸡"),ROW($N$3:N359))),IF(COUNTIF($N$3:N359,"狗")=0,10^9,LOOKUP(2,1/($N$3:N359="狗"),ROW($N$3:N359))),IF(COUNTIF($N$3:N359,"猪")=0,10^9,LOOKUP(2,1/($N$3:N359="猪"),ROW($N$3:N359))))-ROW($N$3)+1),""))),0,IF(ISNUMBER(J359),J359+1,1)))</f>
        <v/>
      </c>
      <c r="K360" s="5" t="e">
        <f t="shared" si="36"/>
        <v>#N/A</v>
      </c>
      <c r="M360" s="6" t="str">
        <f t="shared" si="32"/>
        <v/>
      </c>
      <c r="N360" s="2" t="e">
        <f t="shared" si="33"/>
        <v>#N/A</v>
      </c>
      <c r="O360" s="7" t="str">
        <f>IF(M360="","",IF(COUNTIF(M361:$M$1000,M360)&gt;0,"",M360))</f>
        <v/>
      </c>
      <c r="P360" s="8" t="e">
        <f>IF(N360="","",IF(COUNTIF(N361:$N$1000,N360)&gt;0,"",N360))</f>
        <v>#N/A</v>
      </c>
      <c r="Q360" s="21" t="e">
        <f t="shared" si="34"/>
        <v>#NUM!</v>
      </c>
      <c r="R360" s="22" t="e">
        <f t="shared" si="35"/>
        <v>#NUM!</v>
      </c>
      <c r="S360" s="11"/>
      <c r="T360" s="11"/>
      <c r="U360" s="11"/>
      <c r="W360" s="11"/>
      <c r="X360" s="2"/>
      <c r="Y360" s="2"/>
    </row>
    <row r="361" s="1" customFormat="1" spans="1:25">
      <c r="A361" s="2">
        <v>115056996</v>
      </c>
      <c r="B361" s="2"/>
      <c r="C361" s="2"/>
      <c r="D361" s="2"/>
      <c r="E361" s="2"/>
      <c r="F361" s="2"/>
      <c r="G361" s="2"/>
      <c r="H361" s="3"/>
      <c r="I361" s="2" t="e">
        <f t="shared" si="31"/>
        <v>#N/A</v>
      </c>
      <c r="J361" s="4" t="str">
        <f>IF(H361="","",IF(OR(AND(M361&lt;&gt;"",M361=IFERROR(INDEX($M$3:M360,MIN(IF(COUNTIF($M$3:M360,"0")=0,10^9,LOOKUP(2,1/($M$3:M360="0"),ROW($M$3:M360))),IF(COUNTIF($M$3:M360,"1")=0,10^9,LOOKUP(2,1/($M$3:M360="1"),ROW($M$3:M360))),IF(COUNTIF($M$3:M360,"2")=0,10^9,LOOKUP(2,1/($M$3:M360="2"),ROW($M$3:M360))),IF(COUNTIF($M$3:M360,"3")=0,10^9,LOOKUP(2,1/($M$3:M360="3"),ROW($M$3:M360))),IF(COUNTIF($M$3:M360,"4")=0,10^9,LOOKUP(2,1/($M$3:M360="4"),ROW($M$3:M360))),IF(COUNTIF($M$3:M360,"5")=0,10^9,LOOKUP(2,1/($M$3:M360="5"),ROW($M$3:M360))),IF(COUNTIF($M$3:M360,"6")=0,10^9,LOOKUP(2,1/($M$3:M360="6"),ROW($M$3:M360))),IF(COUNTIF($M$3:M360,"7")=0,10^9,LOOKUP(2,1/($M$3:M360="7"),ROW($M$3:M360))),IF(COUNTIF($M$3:M360,"8")=0,10^9,LOOKUP(2,1/($M$3:M360="8"),ROW($M$3:M360))),IF(COUNTIF($M$3:M360,"9")=0,10^9,LOOKUP(2,1/($M$3:M360="9"),ROW($M$3:M360))))-ROW($M$3)+1),"")),AND(N361&lt;&gt;"",N361=IFERROR(INDEX($N$3:N360,MIN(IF(COUNTIF($N$3:N360,"鼠")=0,10^9,LOOKUP(2,1/($N$3:N360="鼠"),ROW($N$3:N360))),IF(COUNTIF($N$3:N360,"牛")=0,10^9,LOOKUP(2,1/($N$3:N360="牛"),ROW($N$3:N360))),IF(COUNTIF($N$3:N360,"虎")=0,10^9,LOOKUP(2,1/($N$3:N360="虎"),ROW($N$3:N360))),IF(COUNTIF($N$3:N360,"兔")=0,10^9,LOOKUP(2,1/($N$3:N360="兔"),ROW($N$3:N360))),IF(COUNTIF($N$3:N360,"龙")=0,10^9,LOOKUP(2,1/($N$3:N360="龙"),ROW($N$3:N360))),IF(COUNTIF($N$3:N360,"蛇")=0,10^9,LOOKUP(2,1/($N$3:N360="蛇"),ROW($N$3:N360))),IF(COUNTIF($N$3:N360,"马")=0,10^9,LOOKUP(2,1/($N$3:N360="马"),ROW($N$3:N360))),IF(COUNTIF($N$3:N360,"羊")=0,10^9,LOOKUP(2,1/($N$3:N360="羊"),ROW($N$3:N360))),IF(COUNTIF($N$3:N360,"猴")=0,10^9,LOOKUP(2,1/($N$3:N360="猴"),ROW($N$3:N360))),IF(COUNTIF($N$3:N360,"鸡")=0,10^9,LOOKUP(2,1/($N$3:N360="鸡"),ROW($N$3:N360))),IF(COUNTIF($N$3:N360,"狗")=0,10^9,LOOKUP(2,1/($N$3:N360="狗"),ROW($N$3:N360))),IF(COUNTIF($N$3:N360,"猪")=0,10^9,LOOKUP(2,1/($N$3:N360="猪"),ROW($N$3:N360))))-ROW($N$3)+1),""))),0,IF(ISNUMBER(J360),J360+1,1)))</f>
        <v/>
      </c>
      <c r="K361" s="5" t="e">
        <f t="shared" si="36"/>
        <v>#N/A</v>
      </c>
      <c r="M361" s="6" t="str">
        <f t="shared" si="32"/>
        <v/>
      </c>
      <c r="N361" s="2" t="e">
        <f t="shared" si="33"/>
        <v>#N/A</v>
      </c>
      <c r="O361" s="7" t="str">
        <f>IF(M361="","",IF(COUNTIF(M362:$M$1000,M361)&gt;0,"",M361))</f>
        <v/>
      </c>
      <c r="P361" s="8" t="e">
        <f>IF(N361="","",IF(COUNTIF(N362:$N$1000,N361)&gt;0,"",N361))</f>
        <v>#N/A</v>
      </c>
      <c r="Q361" s="21" t="e">
        <f t="shared" si="34"/>
        <v>#NUM!</v>
      </c>
      <c r="R361" s="22" t="e">
        <f t="shared" si="35"/>
        <v>#NUM!</v>
      </c>
      <c r="S361" s="11"/>
      <c r="T361" s="11"/>
      <c r="U361" s="11"/>
      <c r="W361" s="11"/>
      <c r="X361" s="2"/>
      <c r="Y361" s="2"/>
    </row>
    <row r="362" s="1" customFormat="1" spans="1:25">
      <c r="A362" s="2">
        <v>115056997</v>
      </c>
      <c r="B362" s="2"/>
      <c r="C362" s="2"/>
      <c r="D362" s="2"/>
      <c r="E362" s="2"/>
      <c r="F362" s="2"/>
      <c r="G362" s="2"/>
      <c r="H362" s="3"/>
      <c r="I362" s="2" t="e">
        <f t="shared" si="31"/>
        <v>#N/A</v>
      </c>
      <c r="J362" s="4" t="str">
        <f>IF(H362="","",IF(OR(AND(M362&lt;&gt;"",M362=IFERROR(INDEX($M$3:M361,MIN(IF(COUNTIF($M$3:M361,"0")=0,10^9,LOOKUP(2,1/($M$3:M361="0"),ROW($M$3:M361))),IF(COUNTIF($M$3:M361,"1")=0,10^9,LOOKUP(2,1/($M$3:M361="1"),ROW($M$3:M361))),IF(COUNTIF($M$3:M361,"2")=0,10^9,LOOKUP(2,1/($M$3:M361="2"),ROW($M$3:M361))),IF(COUNTIF($M$3:M361,"3")=0,10^9,LOOKUP(2,1/($M$3:M361="3"),ROW($M$3:M361))),IF(COUNTIF($M$3:M361,"4")=0,10^9,LOOKUP(2,1/($M$3:M361="4"),ROW($M$3:M361))),IF(COUNTIF($M$3:M361,"5")=0,10^9,LOOKUP(2,1/($M$3:M361="5"),ROW($M$3:M361))),IF(COUNTIF($M$3:M361,"6")=0,10^9,LOOKUP(2,1/($M$3:M361="6"),ROW($M$3:M361))),IF(COUNTIF($M$3:M361,"7")=0,10^9,LOOKUP(2,1/($M$3:M361="7"),ROW($M$3:M361))),IF(COUNTIF($M$3:M361,"8")=0,10^9,LOOKUP(2,1/($M$3:M361="8"),ROW($M$3:M361))),IF(COUNTIF($M$3:M361,"9")=0,10^9,LOOKUP(2,1/($M$3:M361="9"),ROW($M$3:M361))))-ROW($M$3)+1),"")),AND(N362&lt;&gt;"",N362=IFERROR(INDEX($N$3:N361,MIN(IF(COUNTIF($N$3:N361,"鼠")=0,10^9,LOOKUP(2,1/($N$3:N361="鼠"),ROW($N$3:N361))),IF(COUNTIF($N$3:N361,"牛")=0,10^9,LOOKUP(2,1/($N$3:N361="牛"),ROW($N$3:N361))),IF(COUNTIF($N$3:N361,"虎")=0,10^9,LOOKUP(2,1/($N$3:N361="虎"),ROW($N$3:N361))),IF(COUNTIF($N$3:N361,"兔")=0,10^9,LOOKUP(2,1/($N$3:N361="兔"),ROW($N$3:N361))),IF(COUNTIF($N$3:N361,"龙")=0,10^9,LOOKUP(2,1/($N$3:N361="龙"),ROW($N$3:N361))),IF(COUNTIF($N$3:N361,"蛇")=0,10^9,LOOKUP(2,1/($N$3:N361="蛇"),ROW($N$3:N361))),IF(COUNTIF($N$3:N361,"马")=0,10^9,LOOKUP(2,1/($N$3:N361="马"),ROW($N$3:N361))),IF(COUNTIF($N$3:N361,"羊")=0,10^9,LOOKUP(2,1/($N$3:N361="羊"),ROW($N$3:N361))),IF(COUNTIF($N$3:N361,"猴")=0,10^9,LOOKUP(2,1/($N$3:N361="猴"),ROW($N$3:N361))),IF(COUNTIF($N$3:N361,"鸡")=0,10^9,LOOKUP(2,1/($N$3:N361="鸡"),ROW($N$3:N361))),IF(COUNTIF($N$3:N361,"狗")=0,10^9,LOOKUP(2,1/($N$3:N361="狗"),ROW($N$3:N361))),IF(COUNTIF($N$3:N361,"猪")=0,10^9,LOOKUP(2,1/($N$3:N361="猪"),ROW($N$3:N361))))-ROW($N$3)+1),""))),0,IF(ISNUMBER(J361),J361+1,1)))</f>
        <v/>
      </c>
      <c r="K362" s="5" t="e">
        <f t="shared" si="36"/>
        <v>#N/A</v>
      </c>
      <c r="M362" s="6" t="str">
        <f t="shared" si="32"/>
        <v/>
      </c>
      <c r="N362" s="2" t="e">
        <f t="shared" si="33"/>
        <v>#N/A</v>
      </c>
      <c r="O362" s="7" t="str">
        <f>IF(M362="","",IF(COUNTIF(M363:$M$1000,M362)&gt;0,"",M362))</f>
        <v/>
      </c>
      <c r="P362" s="8" t="e">
        <f>IF(N362="","",IF(COUNTIF(N363:$N$1000,N362)&gt;0,"",N362))</f>
        <v>#N/A</v>
      </c>
      <c r="Q362" s="21" t="e">
        <f t="shared" si="34"/>
        <v>#NUM!</v>
      </c>
      <c r="R362" s="22" t="e">
        <f t="shared" si="35"/>
        <v>#NUM!</v>
      </c>
      <c r="S362" s="11"/>
      <c r="T362" s="11"/>
      <c r="U362" s="11"/>
      <c r="W362" s="11"/>
      <c r="X362" s="2"/>
      <c r="Y362" s="2"/>
    </row>
    <row r="363" s="1" customFormat="1" spans="1:25">
      <c r="A363" s="2">
        <v>115056998</v>
      </c>
      <c r="B363" s="2"/>
      <c r="C363" s="2"/>
      <c r="D363" s="2"/>
      <c r="E363" s="2"/>
      <c r="F363" s="2"/>
      <c r="G363" s="2"/>
      <c r="H363" s="3"/>
      <c r="I363" s="2" t="e">
        <f t="shared" si="31"/>
        <v>#N/A</v>
      </c>
      <c r="J363" s="4" t="str">
        <f>IF(H363="","",IF(OR(AND(M363&lt;&gt;"",M363=IFERROR(INDEX($M$3:M362,MIN(IF(COUNTIF($M$3:M362,"0")=0,10^9,LOOKUP(2,1/($M$3:M362="0"),ROW($M$3:M362))),IF(COUNTIF($M$3:M362,"1")=0,10^9,LOOKUP(2,1/($M$3:M362="1"),ROW($M$3:M362))),IF(COUNTIF($M$3:M362,"2")=0,10^9,LOOKUP(2,1/($M$3:M362="2"),ROW($M$3:M362))),IF(COUNTIF($M$3:M362,"3")=0,10^9,LOOKUP(2,1/($M$3:M362="3"),ROW($M$3:M362))),IF(COUNTIF($M$3:M362,"4")=0,10^9,LOOKUP(2,1/($M$3:M362="4"),ROW($M$3:M362))),IF(COUNTIF($M$3:M362,"5")=0,10^9,LOOKUP(2,1/($M$3:M362="5"),ROW($M$3:M362))),IF(COUNTIF($M$3:M362,"6")=0,10^9,LOOKUP(2,1/($M$3:M362="6"),ROW($M$3:M362))),IF(COUNTIF($M$3:M362,"7")=0,10^9,LOOKUP(2,1/($M$3:M362="7"),ROW($M$3:M362))),IF(COUNTIF($M$3:M362,"8")=0,10^9,LOOKUP(2,1/($M$3:M362="8"),ROW($M$3:M362))),IF(COUNTIF($M$3:M362,"9")=0,10^9,LOOKUP(2,1/($M$3:M362="9"),ROW($M$3:M362))))-ROW($M$3)+1),"")),AND(N363&lt;&gt;"",N363=IFERROR(INDEX($N$3:N362,MIN(IF(COUNTIF($N$3:N362,"鼠")=0,10^9,LOOKUP(2,1/($N$3:N362="鼠"),ROW($N$3:N362))),IF(COUNTIF($N$3:N362,"牛")=0,10^9,LOOKUP(2,1/($N$3:N362="牛"),ROW($N$3:N362))),IF(COUNTIF($N$3:N362,"虎")=0,10^9,LOOKUP(2,1/($N$3:N362="虎"),ROW($N$3:N362))),IF(COUNTIF($N$3:N362,"兔")=0,10^9,LOOKUP(2,1/($N$3:N362="兔"),ROW($N$3:N362))),IF(COUNTIF($N$3:N362,"龙")=0,10^9,LOOKUP(2,1/($N$3:N362="龙"),ROW($N$3:N362))),IF(COUNTIF($N$3:N362,"蛇")=0,10^9,LOOKUP(2,1/($N$3:N362="蛇"),ROW($N$3:N362))),IF(COUNTIF($N$3:N362,"马")=0,10^9,LOOKUP(2,1/($N$3:N362="马"),ROW($N$3:N362))),IF(COUNTIF($N$3:N362,"羊")=0,10^9,LOOKUP(2,1/($N$3:N362="羊"),ROW($N$3:N362))),IF(COUNTIF($N$3:N362,"猴")=0,10^9,LOOKUP(2,1/($N$3:N362="猴"),ROW($N$3:N362))),IF(COUNTIF($N$3:N362,"鸡")=0,10^9,LOOKUP(2,1/($N$3:N362="鸡"),ROW($N$3:N362))),IF(COUNTIF($N$3:N362,"狗")=0,10^9,LOOKUP(2,1/($N$3:N362="狗"),ROW($N$3:N362))),IF(COUNTIF($N$3:N362,"猪")=0,10^9,LOOKUP(2,1/($N$3:N362="猪"),ROW($N$3:N362))))-ROW($N$3)+1),""))),0,IF(ISNUMBER(J362),J362+1,1)))</f>
        <v/>
      </c>
      <c r="K363" s="5" t="e">
        <f t="shared" si="36"/>
        <v>#N/A</v>
      </c>
      <c r="M363" s="6" t="str">
        <f t="shared" si="32"/>
        <v/>
      </c>
      <c r="N363" s="2" t="e">
        <f t="shared" si="33"/>
        <v>#N/A</v>
      </c>
      <c r="O363" s="7" t="str">
        <f>IF(M363="","",IF(COUNTIF(M364:$M$1000,M363)&gt;0,"",M363))</f>
        <v/>
      </c>
      <c r="P363" s="8" t="e">
        <f>IF(N363="","",IF(COUNTIF(N364:$N$1000,N363)&gt;0,"",N363))</f>
        <v>#N/A</v>
      </c>
      <c r="Q363" s="21" t="e">
        <f t="shared" si="34"/>
        <v>#NUM!</v>
      </c>
      <c r="R363" s="22" t="e">
        <f t="shared" si="35"/>
        <v>#NUM!</v>
      </c>
      <c r="S363" s="11"/>
      <c r="T363" s="11"/>
      <c r="U363" s="11"/>
      <c r="W363" s="11"/>
      <c r="X363" s="2"/>
      <c r="Y363" s="2"/>
    </row>
    <row r="364" s="1" customFormat="1" spans="1:25">
      <c r="A364" s="2">
        <v>115056999</v>
      </c>
      <c r="B364" s="2"/>
      <c r="C364" s="2"/>
      <c r="D364" s="2"/>
      <c r="E364" s="2"/>
      <c r="F364" s="2"/>
      <c r="G364" s="2"/>
      <c r="H364" s="3"/>
      <c r="I364" s="2" t="e">
        <f t="shared" si="31"/>
        <v>#N/A</v>
      </c>
      <c r="J364" s="4" t="str">
        <f>IF(H364="","",IF(OR(AND(M364&lt;&gt;"",M364=IFERROR(INDEX($M$3:M363,MIN(IF(COUNTIF($M$3:M363,"0")=0,10^9,LOOKUP(2,1/($M$3:M363="0"),ROW($M$3:M363))),IF(COUNTIF($M$3:M363,"1")=0,10^9,LOOKUP(2,1/($M$3:M363="1"),ROW($M$3:M363))),IF(COUNTIF($M$3:M363,"2")=0,10^9,LOOKUP(2,1/($M$3:M363="2"),ROW($M$3:M363))),IF(COUNTIF($M$3:M363,"3")=0,10^9,LOOKUP(2,1/($M$3:M363="3"),ROW($M$3:M363))),IF(COUNTIF($M$3:M363,"4")=0,10^9,LOOKUP(2,1/($M$3:M363="4"),ROW($M$3:M363))),IF(COUNTIF($M$3:M363,"5")=0,10^9,LOOKUP(2,1/($M$3:M363="5"),ROW($M$3:M363))),IF(COUNTIF($M$3:M363,"6")=0,10^9,LOOKUP(2,1/($M$3:M363="6"),ROW($M$3:M363))),IF(COUNTIF($M$3:M363,"7")=0,10^9,LOOKUP(2,1/($M$3:M363="7"),ROW($M$3:M363))),IF(COUNTIF($M$3:M363,"8")=0,10^9,LOOKUP(2,1/($M$3:M363="8"),ROW($M$3:M363))),IF(COUNTIF($M$3:M363,"9")=0,10^9,LOOKUP(2,1/($M$3:M363="9"),ROW($M$3:M363))))-ROW($M$3)+1),"")),AND(N364&lt;&gt;"",N364=IFERROR(INDEX($N$3:N363,MIN(IF(COUNTIF($N$3:N363,"鼠")=0,10^9,LOOKUP(2,1/($N$3:N363="鼠"),ROW($N$3:N363))),IF(COUNTIF($N$3:N363,"牛")=0,10^9,LOOKUP(2,1/($N$3:N363="牛"),ROW($N$3:N363))),IF(COUNTIF($N$3:N363,"虎")=0,10^9,LOOKUP(2,1/($N$3:N363="虎"),ROW($N$3:N363))),IF(COUNTIF($N$3:N363,"兔")=0,10^9,LOOKUP(2,1/($N$3:N363="兔"),ROW($N$3:N363))),IF(COUNTIF($N$3:N363,"龙")=0,10^9,LOOKUP(2,1/($N$3:N363="龙"),ROW($N$3:N363))),IF(COUNTIF($N$3:N363,"蛇")=0,10^9,LOOKUP(2,1/($N$3:N363="蛇"),ROW($N$3:N363))),IF(COUNTIF($N$3:N363,"马")=0,10^9,LOOKUP(2,1/($N$3:N363="马"),ROW($N$3:N363))),IF(COUNTIF($N$3:N363,"羊")=0,10^9,LOOKUP(2,1/($N$3:N363="羊"),ROW($N$3:N363))),IF(COUNTIF($N$3:N363,"猴")=0,10^9,LOOKUP(2,1/($N$3:N363="猴"),ROW($N$3:N363))),IF(COUNTIF($N$3:N363,"鸡")=0,10^9,LOOKUP(2,1/($N$3:N363="鸡"),ROW($N$3:N363))),IF(COUNTIF($N$3:N363,"狗")=0,10^9,LOOKUP(2,1/($N$3:N363="狗"),ROW($N$3:N363))),IF(COUNTIF($N$3:N363,"猪")=0,10^9,LOOKUP(2,1/($N$3:N363="猪"),ROW($N$3:N363))))-ROW($N$3)+1),""))),0,IF(ISNUMBER(J363),J363+1,1)))</f>
        <v/>
      </c>
      <c r="K364" s="5" t="e">
        <f t="shared" si="36"/>
        <v>#N/A</v>
      </c>
      <c r="M364" s="6" t="str">
        <f t="shared" si="32"/>
        <v/>
      </c>
      <c r="N364" s="2" t="e">
        <f t="shared" si="33"/>
        <v>#N/A</v>
      </c>
      <c r="O364" s="7" t="str">
        <f>IF(M364="","",IF(COUNTIF(M365:$M$1000,M364)&gt;0,"",M364))</f>
        <v/>
      </c>
      <c r="P364" s="8" t="e">
        <f>IF(N364="","",IF(COUNTIF(N365:$N$1000,N364)&gt;0,"",N364))</f>
        <v>#N/A</v>
      </c>
      <c r="Q364" s="21" t="e">
        <f t="shared" si="34"/>
        <v>#NUM!</v>
      </c>
      <c r="R364" s="22" t="e">
        <f t="shared" si="35"/>
        <v>#NUM!</v>
      </c>
      <c r="S364" s="11"/>
      <c r="T364" s="11"/>
      <c r="U364" s="11"/>
      <c r="W364" s="11"/>
      <c r="X364" s="2"/>
      <c r="Y364" s="2"/>
    </row>
    <row r="365" s="1" customFormat="1" spans="1:25">
      <c r="A365" s="2">
        <v>115057000</v>
      </c>
      <c r="B365" s="2"/>
      <c r="C365" s="2"/>
      <c r="D365" s="2"/>
      <c r="E365" s="2"/>
      <c r="F365" s="2"/>
      <c r="G365" s="2"/>
      <c r="H365" s="3"/>
      <c r="I365" s="2" t="e">
        <f t="shared" si="31"/>
        <v>#N/A</v>
      </c>
      <c r="J365" s="4" t="str">
        <f>IF(H365="","",IF(OR(AND(M365&lt;&gt;"",M365=IFERROR(INDEX($M$3:M364,MIN(IF(COUNTIF($M$3:M364,"0")=0,10^9,LOOKUP(2,1/($M$3:M364="0"),ROW($M$3:M364))),IF(COUNTIF($M$3:M364,"1")=0,10^9,LOOKUP(2,1/($M$3:M364="1"),ROW($M$3:M364))),IF(COUNTIF($M$3:M364,"2")=0,10^9,LOOKUP(2,1/($M$3:M364="2"),ROW($M$3:M364))),IF(COUNTIF($M$3:M364,"3")=0,10^9,LOOKUP(2,1/($M$3:M364="3"),ROW($M$3:M364))),IF(COUNTIF($M$3:M364,"4")=0,10^9,LOOKUP(2,1/($M$3:M364="4"),ROW($M$3:M364))),IF(COUNTIF($M$3:M364,"5")=0,10^9,LOOKUP(2,1/($M$3:M364="5"),ROW($M$3:M364))),IF(COUNTIF($M$3:M364,"6")=0,10^9,LOOKUP(2,1/($M$3:M364="6"),ROW($M$3:M364))),IF(COUNTIF($M$3:M364,"7")=0,10^9,LOOKUP(2,1/($M$3:M364="7"),ROW($M$3:M364))),IF(COUNTIF($M$3:M364,"8")=0,10^9,LOOKUP(2,1/($M$3:M364="8"),ROW($M$3:M364))),IF(COUNTIF($M$3:M364,"9")=0,10^9,LOOKUP(2,1/($M$3:M364="9"),ROW($M$3:M364))))-ROW($M$3)+1),"")),AND(N365&lt;&gt;"",N365=IFERROR(INDEX($N$3:N364,MIN(IF(COUNTIF($N$3:N364,"鼠")=0,10^9,LOOKUP(2,1/($N$3:N364="鼠"),ROW($N$3:N364))),IF(COUNTIF($N$3:N364,"牛")=0,10^9,LOOKUP(2,1/($N$3:N364="牛"),ROW($N$3:N364))),IF(COUNTIF($N$3:N364,"虎")=0,10^9,LOOKUP(2,1/($N$3:N364="虎"),ROW($N$3:N364))),IF(COUNTIF($N$3:N364,"兔")=0,10^9,LOOKUP(2,1/($N$3:N364="兔"),ROW($N$3:N364))),IF(COUNTIF($N$3:N364,"龙")=0,10^9,LOOKUP(2,1/($N$3:N364="龙"),ROW($N$3:N364))),IF(COUNTIF($N$3:N364,"蛇")=0,10^9,LOOKUP(2,1/($N$3:N364="蛇"),ROW($N$3:N364))),IF(COUNTIF($N$3:N364,"马")=0,10^9,LOOKUP(2,1/($N$3:N364="马"),ROW($N$3:N364))),IF(COUNTIF($N$3:N364,"羊")=0,10^9,LOOKUP(2,1/($N$3:N364="羊"),ROW($N$3:N364))),IF(COUNTIF($N$3:N364,"猴")=0,10^9,LOOKUP(2,1/($N$3:N364="猴"),ROW($N$3:N364))),IF(COUNTIF($N$3:N364,"鸡")=0,10^9,LOOKUP(2,1/($N$3:N364="鸡"),ROW($N$3:N364))),IF(COUNTIF($N$3:N364,"狗")=0,10^9,LOOKUP(2,1/($N$3:N364="狗"),ROW($N$3:N364))),IF(COUNTIF($N$3:N364,"猪")=0,10^9,LOOKUP(2,1/($N$3:N364="猪"),ROW($N$3:N364))))-ROW($N$3)+1),""))),0,IF(ISNUMBER(J364),J364+1,1)))</f>
        <v/>
      </c>
      <c r="K365" s="5" t="e">
        <f t="shared" si="36"/>
        <v>#N/A</v>
      </c>
      <c r="M365" s="6" t="str">
        <f t="shared" si="32"/>
        <v/>
      </c>
      <c r="N365" s="2" t="e">
        <f t="shared" si="33"/>
        <v>#N/A</v>
      </c>
      <c r="O365" s="7" t="str">
        <f>IF(M365="","",IF(COUNTIF(M366:$M$1000,M365)&gt;0,"",M365))</f>
        <v/>
      </c>
      <c r="P365" s="8" t="e">
        <f>IF(N365="","",IF(COUNTIF(N366:$N$1000,N365)&gt;0,"",N365))</f>
        <v>#N/A</v>
      </c>
      <c r="Q365" s="21" t="e">
        <f t="shared" si="34"/>
        <v>#NUM!</v>
      </c>
      <c r="R365" s="22" t="e">
        <f t="shared" si="35"/>
        <v>#NUM!</v>
      </c>
      <c r="S365" s="11"/>
      <c r="T365" s="11"/>
      <c r="U365" s="11"/>
      <c r="W365" s="11"/>
      <c r="X365" s="2"/>
      <c r="Y365" s="2"/>
    </row>
    <row r="366" s="1" customFormat="1" spans="1:25">
      <c r="A366" s="2">
        <v>115057001</v>
      </c>
      <c r="B366" s="2"/>
      <c r="C366" s="2"/>
      <c r="D366" s="2"/>
      <c r="E366" s="2"/>
      <c r="F366" s="2"/>
      <c r="G366" s="2"/>
      <c r="H366" s="3"/>
      <c r="I366" s="2" t="e">
        <f t="shared" si="31"/>
        <v>#N/A</v>
      </c>
      <c r="J366" s="4" t="str">
        <f>IF(H366="","",IF(OR(AND(M366&lt;&gt;"",M366=IFERROR(INDEX($M$3:M365,MIN(IF(COUNTIF($M$3:M365,"0")=0,10^9,LOOKUP(2,1/($M$3:M365="0"),ROW($M$3:M365))),IF(COUNTIF($M$3:M365,"1")=0,10^9,LOOKUP(2,1/($M$3:M365="1"),ROW($M$3:M365))),IF(COUNTIF($M$3:M365,"2")=0,10^9,LOOKUP(2,1/($M$3:M365="2"),ROW($M$3:M365))),IF(COUNTIF($M$3:M365,"3")=0,10^9,LOOKUP(2,1/($M$3:M365="3"),ROW($M$3:M365))),IF(COUNTIF($M$3:M365,"4")=0,10^9,LOOKUP(2,1/($M$3:M365="4"),ROW($M$3:M365))),IF(COUNTIF($M$3:M365,"5")=0,10^9,LOOKUP(2,1/($M$3:M365="5"),ROW($M$3:M365))),IF(COUNTIF($M$3:M365,"6")=0,10^9,LOOKUP(2,1/($M$3:M365="6"),ROW($M$3:M365))),IF(COUNTIF($M$3:M365,"7")=0,10^9,LOOKUP(2,1/($M$3:M365="7"),ROW($M$3:M365))),IF(COUNTIF($M$3:M365,"8")=0,10^9,LOOKUP(2,1/($M$3:M365="8"),ROW($M$3:M365))),IF(COUNTIF($M$3:M365,"9")=0,10^9,LOOKUP(2,1/($M$3:M365="9"),ROW($M$3:M365))))-ROW($M$3)+1),"")),AND(N366&lt;&gt;"",N366=IFERROR(INDEX($N$3:N365,MIN(IF(COUNTIF($N$3:N365,"鼠")=0,10^9,LOOKUP(2,1/($N$3:N365="鼠"),ROW($N$3:N365))),IF(COUNTIF($N$3:N365,"牛")=0,10^9,LOOKUP(2,1/($N$3:N365="牛"),ROW($N$3:N365))),IF(COUNTIF($N$3:N365,"虎")=0,10^9,LOOKUP(2,1/($N$3:N365="虎"),ROW($N$3:N365))),IF(COUNTIF($N$3:N365,"兔")=0,10^9,LOOKUP(2,1/($N$3:N365="兔"),ROW($N$3:N365))),IF(COUNTIF($N$3:N365,"龙")=0,10^9,LOOKUP(2,1/($N$3:N365="龙"),ROW($N$3:N365))),IF(COUNTIF($N$3:N365,"蛇")=0,10^9,LOOKUP(2,1/($N$3:N365="蛇"),ROW($N$3:N365))),IF(COUNTIF($N$3:N365,"马")=0,10^9,LOOKUP(2,1/($N$3:N365="马"),ROW($N$3:N365))),IF(COUNTIF($N$3:N365,"羊")=0,10^9,LOOKUP(2,1/($N$3:N365="羊"),ROW($N$3:N365))),IF(COUNTIF($N$3:N365,"猴")=0,10^9,LOOKUP(2,1/($N$3:N365="猴"),ROW($N$3:N365))),IF(COUNTIF($N$3:N365,"鸡")=0,10^9,LOOKUP(2,1/($N$3:N365="鸡"),ROW($N$3:N365))),IF(COUNTIF($N$3:N365,"狗")=0,10^9,LOOKUP(2,1/($N$3:N365="狗"),ROW($N$3:N365))),IF(COUNTIF($N$3:N365,"猪")=0,10^9,LOOKUP(2,1/($N$3:N365="猪"),ROW($N$3:N365))))-ROW($N$3)+1),""))),0,IF(ISNUMBER(J365),J365+1,1)))</f>
        <v/>
      </c>
      <c r="K366" s="5" t="e">
        <f t="shared" si="36"/>
        <v>#N/A</v>
      </c>
      <c r="M366" s="6" t="str">
        <f t="shared" si="32"/>
        <v/>
      </c>
      <c r="N366" s="2" t="e">
        <f t="shared" si="33"/>
        <v>#N/A</v>
      </c>
      <c r="O366" s="7" t="str">
        <f>IF(M366="","",IF(COUNTIF(M367:$M$1000,M366)&gt;0,"",M366))</f>
        <v/>
      </c>
      <c r="P366" s="8" t="e">
        <f>IF(N366="","",IF(COUNTIF(N367:$N$1000,N366)&gt;0,"",N366))</f>
        <v>#N/A</v>
      </c>
      <c r="Q366" s="21" t="e">
        <f t="shared" si="34"/>
        <v>#NUM!</v>
      </c>
      <c r="R366" s="22" t="e">
        <f t="shared" si="35"/>
        <v>#NUM!</v>
      </c>
      <c r="S366" s="11"/>
      <c r="T366" s="11"/>
      <c r="U366" s="11"/>
      <c r="W366" s="11"/>
      <c r="X366" s="2"/>
      <c r="Y366" s="2"/>
    </row>
    <row r="367" s="1" customFormat="1" spans="1:25">
      <c r="A367" s="2">
        <v>115057002</v>
      </c>
      <c r="B367" s="2"/>
      <c r="C367" s="2"/>
      <c r="D367" s="2"/>
      <c r="E367" s="2"/>
      <c r="F367" s="2"/>
      <c r="G367" s="2"/>
      <c r="H367" s="3"/>
      <c r="I367" s="2" t="e">
        <f t="shared" si="31"/>
        <v>#N/A</v>
      </c>
      <c r="J367" s="4" t="str">
        <f>IF(H367="","",IF(OR(AND(M367&lt;&gt;"",M367=IFERROR(INDEX($M$3:M366,MIN(IF(COUNTIF($M$3:M366,"0")=0,10^9,LOOKUP(2,1/($M$3:M366="0"),ROW($M$3:M366))),IF(COUNTIF($M$3:M366,"1")=0,10^9,LOOKUP(2,1/($M$3:M366="1"),ROW($M$3:M366))),IF(COUNTIF($M$3:M366,"2")=0,10^9,LOOKUP(2,1/($M$3:M366="2"),ROW($M$3:M366))),IF(COUNTIF($M$3:M366,"3")=0,10^9,LOOKUP(2,1/($M$3:M366="3"),ROW($M$3:M366))),IF(COUNTIF($M$3:M366,"4")=0,10^9,LOOKUP(2,1/($M$3:M366="4"),ROW($M$3:M366))),IF(COUNTIF($M$3:M366,"5")=0,10^9,LOOKUP(2,1/($M$3:M366="5"),ROW($M$3:M366))),IF(COUNTIF($M$3:M366,"6")=0,10^9,LOOKUP(2,1/($M$3:M366="6"),ROW($M$3:M366))),IF(COUNTIF($M$3:M366,"7")=0,10^9,LOOKUP(2,1/($M$3:M366="7"),ROW($M$3:M366))),IF(COUNTIF($M$3:M366,"8")=0,10^9,LOOKUP(2,1/($M$3:M366="8"),ROW($M$3:M366))),IF(COUNTIF($M$3:M366,"9")=0,10^9,LOOKUP(2,1/($M$3:M366="9"),ROW($M$3:M366))))-ROW($M$3)+1),"")),AND(N367&lt;&gt;"",N367=IFERROR(INDEX($N$3:N366,MIN(IF(COUNTIF($N$3:N366,"鼠")=0,10^9,LOOKUP(2,1/($N$3:N366="鼠"),ROW($N$3:N366))),IF(COUNTIF($N$3:N366,"牛")=0,10^9,LOOKUP(2,1/($N$3:N366="牛"),ROW($N$3:N366))),IF(COUNTIF($N$3:N366,"虎")=0,10^9,LOOKUP(2,1/($N$3:N366="虎"),ROW($N$3:N366))),IF(COUNTIF($N$3:N366,"兔")=0,10^9,LOOKUP(2,1/($N$3:N366="兔"),ROW($N$3:N366))),IF(COUNTIF($N$3:N366,"龙")=0,10^9,LOOKUP(2,1/($N$3:N366="龙"),ROW($N$3:N366))),IF(COUNTIF($N$3:N366,"蛇")=0,10^9,LOOKUP(2,1/($N$3:N366="蛇"),ROW($N$3:N366))),IF(COUNTIF($N$3:N366,"马")=0,10^9,LOOKUP(2,1/($N$3:N366="马"),ROW($N$3:N366))),IF(COUNTIF($N$3:N366,"羊")=0,10^9,LOOKUP(2,1/($N$3:N366="羊"),ROW($N$3:N366))),IF(COUNTIF($N$3:N366,"猴")=0,10^9,LOOKUP(2,1/($N$3:N366="猴"),ROW($N$3:N366))),IF(COUNTIF($N$3:N366,"鸡")=0,10^9,LOOKUP(2,1/($N$3:N366="鸡"),ROW($N$3:N366))),IF(COUNTIF($N$3:N366,"狗")=0,10^9,LOOKUP(2,1/($N$3:N366="狗"),ROW($N$3:N366))),IF(COUNTIF($N$3:N366,"猪")=0,10^9,LOOKUP(2,1/($N$3:N366="猪"),ROW($N$3:N366))))-ROW($N$3)+1),""))),0,IF(ISNUMBER(J366),J366+1,1)))</f>
        <v/>
      </c>
      <c r="K367" s="5" t="e">
        <f t="shared" si="36"/>
        <v>#N/A</v>
      </c>
      <c r="M367" s="6" t="str">
        <f t="shared" si="32"/>
        <v/>
      </c>
      <c r="N367" s="2" t="e">
        <f t="shared" si="33"/>
        <v>#N/A</v>
      </c>
      <c r="O367" s="7" t="str">
        <f>IF(M367="","",IF(COUNTIF(M368:$M$1000,M367)&gt;0,"",M367))</f>
        <v/>
      </c>
      <c r="P367" s="8" t="e">
        <f>IF(N367="","",IF(COUNTIF(N368:$N$1000,N367)&gt;0,"",N367))</f>
        <v>#N/A</v>
      </c>
      <c r="Q367" s="21" t="e">
        <f t="shared" si="34"/>
        <v>#NUM!</v>
      </c>
      <c r="R367" s="22" t="e">
        <f t="shared" si="35"/>
        <v>#NUM!</v>
      </c>
      <c r="S367" s="11"/>
      <c r="T367" s="11"/>
      <c r="U367" s="11"/>
      <c r="W367" s="11"/>
      <c r="X367" s="2"/>
      <c r="Y367" s="2"/>
    </row>
    <row r="368" s="1" customFormat="1" spans="1:25">
      <c r="A368" s="2">
        <v>115057003</v>
      </c>
      <c r="B368" s="2"/>
      <c r="C368" s="2"/>
      <c r="D368" s="2"/>
      <c r="E368" s="2"/>
      <c r="F368" s="2"/>
      <c r="G368" s="2"/>
      <c r="H368" s="3"/>
      <c r="I368" s="2" t="e">
        <f t="shared" si="31"/>
        <v>#N/A</v>
      </c>
      <c r="J368" s="4" t="str">
        <f>IF(H368="","",IF(OR(AND(M368&lt;&gt;"",M368=IFERROR(INDEX($M$3:M367,MIN(IF(COUNTIF($M$3:M367,"0")=0,10^9,LOOKUP(2,1/($M$3:M367="0"),ROW($M$3:M367))),IF(COUNTIF($M$3:M367,"1")=0,10^9,LOOKUP(2,1/($M$3:M367="1"),ROW($M$3:M367))),IF(COUNTIF($M$3:M367,"2")=0,10^9,LOOKUP(2,1/($M$3:M367="2"),ROW($M$3:M367))),IF(COUNTIF($M$3:M367,"3")=0,10^9,LOOKUP(2,1/($M$3:M367="3"),ROW($M$3:M367))),IF(COUNTIF($M$3:M367,"4")=0,10^9,LOOKUP(2,1/($M$3:M367="4"),ROW($M$3:M367))),IF(COUNTIF($M$3:M367,"5")=0,10^9,LOOKUP(2,1/($M$3:M367="5"),ROW($M$3:M367))),IF(COUNTIF($M$3:M367,"6")=0,10^9,LOOKUP(2,1/($M$3:M367="6"),ROW($M$3:M367))),IF(COUNTIF($M$3:M367,"7")=0,10^9,LOOKUP(2,1/($M$3:M367="7"),ROW($M$3:M367))),IF(COUNTIF($M$3:M367,"8")=0,10^9,LOOKUP(2,1/($M$3:M367="8"),ROW($M$3:M367))),IF(COUNTIF($M$3:M367,"9")=0,10^9,LOOKUP(2,1/($M$3:M367="9"),ROW($M$3:M367))))-ROW($M$3)+1),"")),AND(N368&lt;&gt;"",N368=IFERROR(INDEX($N$3:N367,MIN(IF(COUNTIF($N$3:N367,"鼠")=0,10^9,LOOKUP(2,1/($N$3:N367="鼠"),ROW($N$3:N367))),IF(COUNTIF($N$3:N367,"牛")=0,10^9,LOOKUP(2,1/($N$3:N367="牛"),ROW($N$3:N367))),IF(COUNTIF($N$3:N367,"虎")=0,10^9,LOOKUP(2,1/($N$3:N367="虎"),ROW($N$3:N367))),IF(COUNTIF($N$3:N367,"兔")=0,10^9,LOOKUP(2,1/($N$3:N367="兔"),ROW($N$3:N367))),IF(COUNTIF($N$3:N367,"龙")=0,10^9,LOOKUP(2,1/($N$3:N367="龙"),ROW($N$3:N367))),IF(COUNTIF($N$3:N367,"蛇")=0,10^9,LOOKUP(2,1/($N$3:N367="蛇"),ROW($N$3:N367))),IF(COUNTIF($N$3:N367,"马")=0,10^9,LOOKUP(2,1/($N$3:N367="马"),ROW($N$3:N367))),IF(COUNTIF($N$3:N367,"羊")=0,10^9,LOOKUP(2,1/($N$3:N367="羊"),ROW($N$3:N367))),IF(COUNTIF($N$3:N367,"猴")=0,10^9,LOOKUP(2,1/($N$3:N367="猴"),ROW($N$3:N367))),IF(COUNTIF($N$3:N367,"鸡")=0,10^9,LOOKUP(2,1/($N$3:N367="鸡"),ROW($N$3:N367))),IF(COUNTIF($N$3:N367,"狗")=0,10^9,LOOKUP(2,1/($N$3:N367="狗"),ROW($N$3:N367))),IF(COUNTIF($N$3:N367,"猪")=0,10^9,LOOKUP(2,1/($N$3:N367="猪"),ROW($N$3:N367))))-ROW($N$3)+1),""))),0,IF(ISNUMBER(J367),J367+1,1)))</f>
        <v/>
      </c>
      <c r="K368" s="5" t="e">
        <f t="shared" si="36"/>
        <v>#N/A</v>
      </c>
      <c r="M368" s="6" t="str">
        <f t="shared" si="32"/>
        <v/>
      </c>
      <c r="N368" s="2" t="e">
        <f t="shared" si="33"/>
        <v>#N/A</v>
      </c>
      <c r="O368" s="7" t="str">
        <f>IF(M368="","",IF(COUNTIF(M369:$M$1000,M368)&gt;0,"",M368))</f>
        <v/>
      </c>
      <c r="P368" s="8" t="e">
        <f>IF(N368="","",IF(COUNTIF(N369:$N$1000,N368)&gt;0,"",N368))</f>
        <v>#N/A</v>
      </c>
      <c r="Q368" s="21" t="e">
        <f t="shared" si="34"/>
        <v>#NUM!</v>
      </c>
      <c r="R368" s="22" t="e">
        <f t="shared" si="35"/>
        <v>#NUM!</v>
      </c>
      <c r="S368" s="11"/>
      <c r="T368" s="11"/>
      <c r="U368" s="11"/>
      <c r="W368" s="11"/>
      <c r="X368" s="2"/>
      <c r="Y368" s="2"/>
    </row>
    <row r="369" s="1" customFormat="1" spans="1:25">
      <c r="A369" s="2">
        <v>115057004</v>
      </c>
      <c r="B369" s="2"/>
      <c r="C369" s="2"/>
      <c r="D369" s="2"/>
      <c r="E369" s="2"/>
      <c r="F369" s="2"/>
      <c r="G369" s="2"/>
      <c r="H369" s="3"/>
      <c r="I369" s="2" t="e">
        <f t="shared" si="31"/>
        <v>#N/A</v>
      </c>
      <c r="J369" s="4" t="str">
        <f>IF(H369="","",IF(OR(AND(M369&lt;&gt;"",M369=IFERROR(INDEX($M$3:M368,MIN(IF(COUNTIF($M$3:M368,"0")=0,10^9,LOOKUP(2,1/($M$3:M368="0"),ROW($M$3:M368))),IF(COUNTIF($M$3:M368,"1")=0,10^9,LOOKUP(2,1/($M$3:M368="1"),ROW($M$3:M368))),IF(COUNTIF($M$3:M368,"2")=0,10^9,LOOKUP(2,1/($M$3:M368="2"),ROW($M$3:M368))),IF(COUNTIF($M$3:M368,"3")=0,10^9,LOOKUP(2,1/($M$3:M368="3"),ROW($M$3:M368))),IF(COUNTIF($M$3:M368,"4")=0,10^9,LOOKUP(2,1/($M$3:M368="4"),ROW($M$3:M368))),IF(COUNTIF($M$3:M368,"5")=0,10^9,LOOKUP(2,1/($M$3:M368="5"),ROW($M$3:M368))),IF(COUNTIF($M$3:M368,"6")=0,10^9,LOOKUP(2,1/($M$3:M368="6"),ROW($M$3:M368))),IF(COUNTIF($M$3:M368,"7")=0,10^9,LOOKUP(2,1/($M$3:M368="7"),ROW($M$3:M368))),IF(COUNTIF($M$3:M368,"8")=0,10^9,LOOKUP(2,1/($M$3:M368="8"),ROW($M$3:M368))),IF(COUNTIF($M$3:M368,"9")=0,10^9,LOOKUP(2,1/($M$3:M368="9"),ROW($M$3:M368))))-ROW($M$3)+1),"")),AND(N369&lt;&gt;"",N369=IFERROR(INDEX($N$3:N368,MIN(IF(COUNTIF($N$3:N368,"鼠")=0,10^9,LOOKUP(2,1/($N$3:N368="鼠"),ROW($N$3:N368))),IF(COUNTIF($N$3:N368,"牛")=0,10^9,LOOKUP(2,1/($N$3:N368="牛"),ROW($N$3:N368))),IF(COUNTIF($N$3:N368,"虎")=0,10^9,LOOKUP(2,1/($N$3:N368="虎"),ROW($N$3:N368))),IF(COUNTIF($N$3:N368,"兔")=0,10^9,LOOKUP(2,1/($N$3:N368="兔"),ROW($N$3:N368))),IF(COUNTIF($N$3:N368,"龙")=0,10^9,LOOKUP(2,1/($N$3:N368="龙"),ROW($N$3:N368))),IF(COUNTIF($N$3:N368,"蛇")=0,10^9,LOOKUP(2,1/($N$3:N368="蛇"),ROW($N$3:N368))),IF(COUNTIF($N$3:N368,"马")=0,10^9,LOOKUP(2,1/($N$3:N368="马"),ROW($N$3:N368))),IF(COUNTIF($N$3:N368,"羊")=0,10^9,LOOKUP(2,1/($N$3:N368="羊"),ROW($N$3:N368))),IF(COUNTIF($N$3:N368,"猴")=0,10^9,LOOKUP(2,1/($N$3:N368="猴"),ROW($N$3:N368))),IF(COUNTIF($N$3:N368,"鸡")=0,10^9,LOOKUP(2,1/($N$3:N368="鸡"),ROW($N$3:N368))),IF(COUNTIF($N$3:N368,"狗")=0,10^9,LOOKUP(2,1/($N$3:N368="狗"),ROW($N$3:N368))),IF(COUNTIF($N$3:N368,"猪")=0,10^9,LOOKUP(2,1/($N$3:N368="猪"),ROW($N$3:N368))))-ROW($N$3)+1),""))),0,IF(ISNUMBER(J368),J368+1,1)))</f>
        <v/>
      </c>
      <c r="K369" s="5" t="e">
        <f t="shared" si="36"/>
        <v>#N/A</v>
      </c>
      <c r="M369" s="6" t="str">
        <f t="shared" si="32"/>
        <v/>
      </c>
      <c r="N369" s="2" t="e">
        <f t="shared" si="33"/>
        <v>#N/A</v>
      </c>
      <c r="O369" s="7" t="str">
        <f>IF(M369="","",IF(COUNTIF(M370:$M$1000,M369)&gt;0,"",M369))</f>
        <v/>
      </c>
      <c r="P369" s="8" t="e">
        <f>IF(N369="","",IF(COUNTIF(N370:$N$1000,N369)&gt;0,"",N369))</f>
        <v>#N/A</v>
      </c>
      <c r="Q369" s="21" t="e">
        <f t="shared" si="34"/>
        <v>#NUM!</v>
      </c>
      <c r="R369" s="22" t="e">
        <f t="shared" si="35"/>
        <v>#NUM!</v>
      </c>
      <c r="S369" s="11"/>
      <c r="T369" s="11"/>
      <c r="U369" s="11"/>
      <c r="W369" s="11"/>
      <c r="X369" s="2"/>
      <c r="Y369" s="2"/>
    </row>
    <row r="370" s="1" customFormat="1" spans="1:25">
      <c r="A370" s="2">
        <v>115057005</v>
      </c>
      <c r="B370" s="2"/>
      <c r="C370" s="2"/>
      <c r="D370" s="2"/>
      <c r="E370" s="2"/>
      <c r="F370" s="2"/>
      <c r="G370" s="2"/>
      <c r="H370" s="3"/>
      <c r="I370" s="2" t="e">
        <f t="shared" si="31"/>
        <v>#N/A</v>
      </c>
      <c r="J370" s="4" t="str">
        <f>IF(H370="","",IF(OR(AND(M370&lt;&gt;"",M370=IFERROR(INDEX($M$3:M369,MIN(IF(COUNTIF($M$3:M369,"0")=0,10^9,LOOKUP(2,1/($M$3:M369="0"),ROW($M$3:M369))),IF(COUNTIF($M$3:M369,"1")=0,10^9,LOOKUP(2,1/($M$3:M369="1"),ROW($M$3:M369))),IF(COUNTIF($M$3:M369,"2")=0,10^9,LOOKUP(2,1/($M$3:M369="2"),ROW($M$3:M369))),IF(COUNTIF($M$3:M369,"3")=0,10^9,LOOKUP(2,1/($M$3:M369="3"),ROW($M$3:M369))),IF(COUNTIF($M$3:M369,"4")=0,10^9,LOOKUP(2,1/($M$3:M369="4"),ROW($M$3:M369))),IF(COUNTIF($M$3:M369,"5")=0,10^9,LOOKUP(2,1/($M$3:M369="5"),ROW($M$3:M369))),IF(COUNTIF($M$3:M369,"6")=0,10^9,LOOKUP(2,1/($M$3:M369="6"),ROW($M$3:M369))),IF(COUNTIF($M$3:M369,"7")=0,10^9,LOOKUP(2,1/($M$3:M369="7"),ROW($M$3:M369))),IF(COUNTIF($M$3:M369,"8")=0,10^9,LOOKUP(2,1/($M$3:M369="8"),ROW($M$3:M369))),IF(COUNTIF($M$3:M369,"9")=0,10^9,LOOKUP(2,1/($M$3:M369="9"),ROW($M$3:M369))))-ROW($M$3)+1),"")),AND(N370&lt;&gt;"",N370=IFERROR(INDEX($N$3:N369,MIN(IF(COUNTIF($N$3:N369,"鼠")=0,10^9,LOOKUP(2,1/($N$3:N369="鼠"),ROW($N$3:N369))),IF(COUNTIF($N$3:N369,"牛")=0,10^9,LOOKUP(2,1/($N$3:N369="牛"),ROW($N$3:N369))),IF(COUNTIF($N$3:N369,"虎")=0,10^9,LOOKUP(2,1/($N$3:N369="虎"),ROW($N$3:N369))),IF(COUNTIF($N$3:N369,"兔")=0,10^9,LOOKUP(2,1/($N$3:N369="兔"),ROW($N$3:N369))),IF(COUNTIF($N$3:N369,"龙")=0,10^9,LOOKUP(2,1/($N$3:N369="龙"),ROW($N$3:N369))),IF(COUNTIF($N$3:N369,"蛇")=0,10^9,LOOKUP(2,1/($N$3:N369="蛇"),ROW($N$3:N369))),IF(COUNTIF($N$3:N369,"马")=0,10^9,LOOKUP(2,1/($N$3:N369="马"),ROW($N$3:N369))),IF(COUNTIF($N$3:N369,"羊")=0,10^9,LOOKUP(2,1/($N$3:N369="羊"),ROW($N$3:N369))),IF(COUNTIF($N$3:N369,"猴")=0,10^9,LOOKUP(2,1/($N$3:N369="猴"),ROW($N$3:N369))),IF(COUNTIF($N$3:N369,"鸡")=0,10^9,LOOKUP(2,1/($N$3:N369="鸡"),ROW($N$3:N369))),IF(COUNTIF($N$3:N369,"狗")=0,10^9,LOOKUP(2,1/($N$3:N369="狗"),ROW($N$3:N369))),IF(COUNTIF($N$3:N369,"猪")=0,10^9,LOOKUP(2,1/($N$3:N369="猪"),ROW($N$3:N369))))-ROW($N$3)+1),""))),0,IF(ISNUMBER(J369),J369+1,1)))</f>
        <v/>
      </c>
      <c r="K370" s="5" t="e">
        <f t="shared" si="36"/>
        <v>#N/A</v>
      </c>
      <c r="M370" s="6" t="str">
        <f t="shared" si="32"/>
        <v/>
      </c>
      <c r="N370" s="2" t="e">
        <f t="shared" si="33"/>
        <v>#N/A</v>
      </c>
      <c r="O370" s="7" t="str">
        <f>IF(M370="","",IF(COUNTIF(M371:$M$1000,M370)&gt;0,"",M370))</f>
        <v/>
      </c>
      <c r="P370" s="8" t="e">
        <f>IF(N370="","",IF(COUNTIF(N371:$N$1000,N370)&gt;0,"",N370))</f>
        <v>#N/A</v>
      </c>
      <c r="Q370" s="21" t="e">
        <f t="shared" si="34"/>
        <v>#NUM!</v>
      </c>
      <c r="R370" s="22" t="e">
        <f t="shared" si="35"/>
        <v>#NUM!</v>
      </c>
      <c r="S370" s="11"/>
      <c r="T370" s="11"/>
      <c r="U370" s="11"/>
      <c r="W370" s="11"/>
      <c r="X370" s="2"/>
      <c r="Y370" s="2"/>
    </row>
    <row r="371" s="1" customFormat="1" spans="1:25">
      <c r="A371" s="2">
        <v>115057006</v>
      </c>
      <c r="B371" s="2"/>
      <c r="C371" s="2"/>
      <c r="D371" s="2"/>
      <c r="E371" s="2"/>
      <c r="F371" s="2"/>
      <c r="G371" s="2"/>
      <c r="H371" s="3"/>
      <c r="I371" s="2" t="e">
        <f t="shared" si="31"/>
        <v>#N/A</v>
      </c>
      <c r="J371" s="4" t="str">
        <f>IF(H371="","",IF(OR(AND(M371&lt;&gt;"",M371=IFERROR(INDEX($M$3:M370,MIN(IF(COUNTIF($M$3:M370,"0")=0,10^9,LOOKUP(2,1/($M$3:M370="0"),ROW($M$3:M370))),IF(COUNTIF($M$3:M370,"1")=0,10^9,LOOKUP(2,1/($M$3:M370="1"),ROW($M$3:M370))),IF(COUNTIF($M$3:M370,"2")=0,10^9,LOOKUP(2,1/($M$3:M370="2"),ROW($M$3:M370))),IF(COUNTIF($M$3:M370,"3")=0,10^9,LOOKUP(2,1/($M$3:M370="3"),ROW($M$3:M370))),IF(COUNTIF($M$3:M370,"4")=0,10^9,LOOKUP(2,1/($M$3:M370="4"),ROW($M$3:M370))),IF(COUNTIF($M$3:M370,"5")=0,10^9,LOOKUP(2,1/($M$3:M370="5"),ROW($M$3:M370))),IF(COUNTIF($M$3:M370,"6")=0,10^9,LOOKUP(2,1/($M$3:M370="6"),ROW($M$3:M370))),IF(COUNTIF($M$3:M370,"7")=0,10^9,LOOKUP(2,1/($M$3:M370="7"),ROW($M$3:M370))),IF(COUNTIF($M$3:M370,"8")=0,10^9,LOOKUP(2,1/($M$3:M370="8"),ROW($M$3:M370))),IF(COUNTIF($M$3:M370,"9")=0,10^9,LOOKUP(2,1/($M$3:M370="9"),ROW($M$3:M370))))-ROW($M$3)+1),"")),AND(N371&lt;&gt;"",N371=IFERROR(INDEX($N$3:N370,MIN(IF(COUNTIF($N$3:N370,"鼠")=0,10^9,LOOKUP(2,1/($N$3:N370="鼠"),ROW($N$3:N370))),IF(COUNTIF($N$3:N370,"牛")=0,10^9,LOOKUP(2,1/($N$3:N370="牛"),ROW($N$3:N370))),IF(COUNTIF($N$3:N370,"虎")=0,10^9,LOOKUP(2,1/($N$3:N370="虎"),ROW($N$3:N370))),IF(COUNTIF($N$3:N370,"兔")=0,10^9,LOOKUP(2,1/($N$3:N370="兔"),ROW($N$3:N370))),IF(COUNTIF($N$3:N370,"龙")=0,10^9,LOOKUP(2,1/($N$3:N370="龙"),ROW($N$3:N370))),IF(COUNTIF($N$3:N370,"蛇")=0,10^9,LOOKUP(2,1/($N$3:N370="蛇"),ROW($N$3:N370))),IF(COUNTIF($N$3:N370,"马")=0,10^9,LOOKUP(2,1/($N$3:N370="马"),ROW($N$3:N370))),IF(COUNTIF($N$3:N370,"羊")=0,10^9,LOOKUP(2,1/($N$3:N370="羊"),ROW($N$3:N370))),IF(COUNTIF($N$3:N370,"猴")=0,10^9,LOOKUP(2,1/($N$3:N370="猴"),ROW($N$3:N370))),IF(COUNTIF($N$3:N370,"鸡")=0,10^9,LOOKUP(2,1/($N$3:N370="鸡"),ROW($N$3:N370))),IF(COUNTIF($N$3:N370,"狗")=0,10^9,LOOKUP(2,1/($N$3:N370="狗"),ROW($N$3:N370))),IF(COUNTIF($N$3:N370,"猪")=0,10^9,LOOKUP(2,1/($N$3:N370="猪"),ROW($N$3:N370))))-ROW($N$3)+1),""))),0,IF(ISNUMBER(J370),J370+1,1)))</f>
        <v/>
      </c>
      <c r="K371" s="5" t="e">
        <f t="shared" si="36"/>
        <v>#N/A</v>
      </c>
      <c r="M371" s="6" t="str">
        <f t="shared" si="32"/>
        <v/>
      </c>
      <c r="N371" s="2" t="e">
        <f t="shared" si="33"/>
        <v>#N/A</v>
      </c>
      <c r="O371" s="7" t="str">
        <f>IF(M371="","",IF(COUNTIF(M372:$M$1000,M371)&gt;0,"",M371))</f>
        <v/>
      </c>
      <c r="P371" s="8" t="e">
        <f>IF(N371="","",IF(COUNTIF(N372:$N$1000,N371)&gt;0,"",N371))</f>
        <v>#N/A</v>
      </c>
      <c r="Q371" s="21" t="e">
        <f t="shared" si="34"/>
        <v>#NUM!</v>
      </c>
      <c r="R371" s="22" t="e">
        <f t="shared" si="35"/>
        <v>#NUM!</v>
      </c>
      <c r="S371" s="11"/>
      <c r="T371" s="11"/>
      <c r="U371" s="11"/>
      <c r="W371" s="11"/>
      <c r="X371" s="2"/>
      <c r="Y371" s="2"/>
    </row>
    <row r="372" s="1" customFormat="1" spans="1:25">
      <c r="A372" s="2">
        <v>115057007</v>
      </c>
      <c r="B372" s="2"/>
      <c r="C372" s="2"/>
      <c r="D372" s="2"/>
      <c r="E372" s="2"/>
      <c r="F372" s="2"/>
      <c r="G372" s="2"/>
      <c r="H372" s="3"/>
      <c r="I372" s="2" t="e">
        <f t="shared" si="31"/>
        <v>#N/A</v>
      </c>
      <c r="J372" s="4" t="str">
        <f>IF(H372="","",IF(OR(AND(M372&lt;&gt;"",M372=IFERROR(INDEX($M$3:M371,MIN(IF(COUNTIF($M$3:M371,"0")=0,10^9,LOOKUP(2,1/($M$3:M371="0"),ROW($M$3:M371))),IF(COUNTIF($M$3:M371,"1")=0,10^9,LOOKUP(2,1/($M$3:M371="1"),ROW($M$3:M371))),IF(COUNTIF($M$3:M371,"2")=0,10^9,LOOKUP(2,1/($M$3:M371="2"),ROW($M$3:M371))),IF(COUNTIF($M$3:M371,"3")=0,10^9,LOOKUP(2,1/($M$3:M371="3"),ROW($M$3:M371))),IF(COUNTIF($M$3:M371,"4")=0,10^9,LOOKUP(2,1/($M$3:M371="4"),ROW($M$3:M371))),IF(COUNTIF($M$3:M371,"5")=0,10^9,LOOKUP(2,1/($M$3:M371="5"),ROW($M$3:M371))),IF(COUNTIF($M$3:M371,"6")=0,10^9,LOOKUP(2,1/($M$3:M371="6"),ROW($M$3:M371))),IF(COUNTIF($M$3:M371,"7")=0,10^9,LOOKUP(2,1/($M$3:M371="7"),ROW($M$3:M371))),IF(COUNTIF($M$3:M371,"8")=0,10^9,LOOKUP(2,1/($M$3:M371="8"),ROW($M$3:M371))),IF(COUNTIF($M$3:M371,"9")=0,10^9,LOOKUP(2,1/($M$3:M371="9"),ROW($M$3:M371))))-ROW($M$3)+1),"")),AND(N372&lt;&gt;"",N372=IFERROR(INDEX($N$3:N371,MIN(IF(COUNTIF($N$3:N371,"鼠")=0,10^9,LOOKUP(2,1/($N$3:N371="鼠"),ROW($N$3:N371))),IF(COUNTIF($N$3:N371,"牛")=0,10^9,LOOKUP(2,1/($N$3:N371="牛"),ROW($N$3:N371))),IF(COUNTIF($N$3:N371,"虎")=0,10^9,LOOKUP(2,1/($N$3:N371="虎"),ROW($N$3:N371))),IF(COUNTIF($N$3:N371,"兔")=0,10^9,LOOKUP(2,1/($N$3:N371="兔"),ROW($N$3:N371))),IF(COUNTIF($N$3:N371,"龙")=0,10^9,LOOKUP(2,1/($N$3:N371="龙"),ROW($N$3:N371))),IF(COUNTIF($N$3:N371,"蛇")=0,10^9,LOOKUP(2,1/($N$3:N371="蛇"),ROW($N$3:N371))),IF(COUNTIF($N$3:N371,"马")=0,10^9,LOOKUP(2,1/($N$3:N371="马"),ROW($N$3:N371))),IF(COUNTIF($N$3:N371,"羊")=0,10^9,LOOKUP(2,1/($N$3:N371="羊"),ROW($N$3:N371))),IF(COUNTIF($N$3:N371,"猴")=0,10^9,LOOKUP(2,1/($N$3:N371="猴"),ROW($N$3:N371))),IF(COUNTIF($N$3:N371,"鸡")=0,10^9,LOOKUP(2,1/($N$3:N371="鸡"),ROW($N$3:N371))),IF(COUNTIF($N$3:N371,"狗")=0,10^9,LOOKUP(2,1/($N$3:N371="狗"),ROW($N$3:N371))),IF(COUNTIF($N$3:N371,"猪")=0,10^9,LOOKUP(2,1/($N$3:N371="猪"),ROW($N$3:N371))))-ROW($N$3)+1),""))),0,IF(ISNUMBER(J371),J371+1,1)))</f>
        <v/>
      </c>
      <c r="K372" s="5" t="e">
        <f t="shared" si="36"/>
        <v>#N/A</v>
      </c>
      <c r="M372" s="6" t="str">
        <f t="shared" si="32"/>
        <v/>
      </c>
      <c r="N372" s="2" t="e">
        <f t="shared" si="33"/>
        <v>#N/A</v>
      </c>
      <c r="O372" s="7" t="str">
        <f>IF(M372="","",IF(COUNTIF(M373:$M$1000,M372)&gt;0,"",M372))</f>
        <v/>
      </c>
      <c r="P372" s="8" t="e">
        <f>IF(N372="","",IF(COUNTIF(N373:$N$1000,N372)&gt;0,"",N372))</f>
        <v>#N/A</v>
      </c>
      <c r="Q372" s="21" t="e">
        <f t="shared" si="34"/>
        <v>#NUM!</v>
      </c>
      <c r="R372" s="22" t="e">
        <f t="shared" si="35"/>
        <v>#NUM!</v>
      </c>
      <c r="S372" s="11"/>
      <c r="T372" s="11"/>
      <c r="U372" s="11"/>
      <c r="W372" s="11"/>
      <c r="X372" s="2"/>
      <c r="Y372" s="2"/>
    </row>
    <row r="373" s="1" customFormat="1" spans="1:25">
      <c r="A373" s="2">
        <v>115057008</v>
      </c>
      <c r="B373" s="2"/>
      <c r="C373" s="2"/>
      <c r="D373" s="2"/>
      <c r="E373" s="2"/>
      <c r="F373" s="2"/>
      <c r="G373" s="2"/>
      <c r="H373" s="3"/>
      <c r="I373" s="2" t="e">
        <f t="shared" si="31"/>
        <v>#N/A</v>
      </c>
      <c r="J373" s="4" t="str">
        <f>IF(H373="","",IF(OR(AND(M373&lt;&gt;"",M373=IFERROR(INDEX($M$3:M372,MIN(IF(COUNTIF($M$3:M372,"0")=0,10^9,LOOKUP(2,1/($M$3:M372="0"),ROW($M$3:M372))),IF(COUNTIF($M$3:M372,"1")=0,10^9,LOOKUP(2,1/($M$3:M372="1"),ROW($M$3:M372))),IF(COUNTIF($M$3:M372,"2")=0,10^9,LOOKUP(2,1/($M$3:M372="2"),ROW($M$3:M372))),IF(COUNTIF($M$3:M372,"3")=0,10^9,LOOKUP(2,1/($M$3:M372="3"),ROW($M$3:M372))),IF(COUNTIF($M$3:M372,"4")=0,10^9,LOOKUP(2,1/($M$3:M372="4"),ROW($M$3:M372))),IF(COUNTIF($M$3:M372,"5")=0,10^9,LOOKUP(2,1/($M$3:M372="5"),ROW($M$3:M372))),IF(COUNTIF($M$3:M372,"6")=0,10^9,LOOKUP(2,1/($M$3:M372="6"),ROW($M$3:M372))),IF(COUNTIF($M$3:M372,"7")=0,10^9,LOOKUP(2,1/($M$3:M372="7"),ROW($M$3:M372))),IF(COUNTIF($M$3:M372,"8")=0,10^9,LOOKUP(2,1/($M$3:M372="8"),ROW($M$3:M372))),IF(COUNTIF($M$3:M372,"9")=0,10^9,LOOKUP(2,1/($M$3:M372="9"),ROW($M$3:M372))))-ROW($M$3)+1),"")),AND(N373&lt;&gt;"",N373=IFERROR(INDEX($N$3:N372,MIN(IF(COUNTIF($N$3:N372,"鼠")=0,10^9,LOOKUP(2,1/($N$3:N372="鼠"),ROW($N$3:N372))),IF(COUNTIF($N$3:N372,"牛")=0,10^9,LOOKUP(2,1/($N$3:N372="牛"),ROW($N$3:N372))),IF(COUNTIF($N$3:N372,"虎")=0,10^9,LOOKUP(2,1/($N$3:N372="虎"),ROW($N$3:N372))),IF(COUNTIF($N$3:N372,"兔")=0,10^9,LOOKUP(2,1/($N$3:N372="兔"),ROW($N$3:N372))),IF(COUNTIF($N$3:N372,"龙")=0,10^9,LOOKUP(2,1/($N$3:N372="龙"),ROW($N$3:N372))),IF(COUNTIF($N$3:N372,"蛇")=0,10^9,LOOKUP(2,1/($N$3:N372="蛇"),ROW($N$3:N372))),IF(COUNTIF($N$3:N372,"马")=0,10^9,LOOKUP(2,1/($N$3:N372="马"),ROW($N$3:N372))),IF(COUNTIF($N$3:N372,"羊")=0,10^9,LOOKUP(2,1/($N$3:N372="羊"),ROW($N$3:N372))),IF(COUNTIF($N$3:N372,"猴")=0,10^9,LOOKUP(2,1/($N$3:N372="猴"),ROW($N$3:N372))),IF(COUNTIF($N$3:N372,"鸡")=0,10^9,LOOKUP(2,1/($N$3:N372="鸡"),ROW($N$3:N372))),IF(COUNTIF($N$3:N372,"狗")=0,10^9,LOOKUP(2,1/($N$3:N372="狗"),ROW($N$3:N372))),IF(COUNTIF($N$3:N372,"猪")=0,10^9,LOOKUP(2,1/($N$3:N372="猪"),ROW($N$3:N372))))-ROW($N$3)+1),""))),0,IF(ISNUMBER(J372),J372+1,1)))</f>
        <v/>
      </c>
      <c r="K373" s="5" t="e">
        <f t="shared" si="36"/>
        <v>#N/A</v>
      </c>
      <c r="M373" s="6" t="str">
        <f t="shared" si="32"/>
        <v/>
      </c>
      <c r="N373" s="2" t="e">
        <f t="shared" si="33"/>
        <v>#N/A</v>
      </c>
      <c r="O373" s="7" t="str">
        <f>IF(M373="","",IF(COUNTIF(M374:$M$1000,M373)&gt;0,"",M373))</f>
        <v/>
      </c>
      <c r="P373" s="8" t="e">
        <f>IF(N373="","",IF(COUNTIF(N374:$N$1000,N373)&gt;0,"",N373))</f>
        <v>#N/A</v>
      </c>
      <c r="Q373" s="21" t="e">
        <f t="shared" si="34"/>
        <v>#NUM!</v>
      </c>
      <c r="R373" s="22" t="e">
        <f t="shared" si="35"/>
        <v>#NUM!</v>
      </c>
      <c r="S373" s="11"/>
      <c r="T373" s="11"/>
      <c r="U373" s="11"/>
      <c r="W373" s="11"/>
      <c r="X373" s="2"/>
      <c r="Y373" s="2"/>
    </row>
    <row r="374" s="1" customFormat="1" spans="1:25">
      <c r="A374" s="2">
        <v>115057009</v>
      </c>
      <c r="B374" s="2"/>
      <c r="C374" s="2"/>
      <c r="D374" s="2"/>
      <c r="E374" s="2"/>
      <c r="F374" s="2"/>
      <c r="G374" s="2"/>
      <c r="H374" s="3"/>
      <c r="I374" s="2" t="e">
        <f t="shared" si="31"/>
        <v>#N/A</v>
      </c>
      <c r="J374" s="4" t="str">
        <f>IF(H374="","",IF(OR(AND(M374&lt;&gt;"",M374=IFERROR(INDEX($M$3:M373,MIN(IF(COUNTIF($M$3:M373,"0")=0,10^9,LOOKUP(2,1/($M$3:M373="0"),ROW($M$3:M373))),IF(COUNTIF($M$3:M373,"1")=0,10^9,LOOKUP(2,1/($M$3:M373="1"),ROW($M$3:M373))),IF(COUNTIF($M$3:M373,"2")=0,10^9,LOOKUP(2,1/($M$3:M373="2"),ROW($M$3:M373))),IF(COUNTIF($M$3:M373,"3")=0,10^9,LOOKUP(2,1/($M$3:M373="3"),ROW($M$3:M373))),IF(COUNTIF($M$3:M373,"4")=0,10^9,LOOKUP(2,1/($M$3:M373="4"),ROW($M$3:M373))),IF(COUNTIF($M$3:M373,"5")=0,10^9,LOOKUP(2,1/($M$3:M373="5"),ROW($M$3:M373))),IF(COUNTIF($M$3:M373,"6")=0,10^9,LOOKUP(2,1/($M$3:M373="6"),ROW($M$3:M373))),IF(COUNTIF($M$3:M373,"7")=0,10^9,LOOKUP(2,1/($M$3:M373="7"),ROW($M$3:M373))),IF(COUNTIF($M$3:M373,"8")=0,10^9,LOOKUP(2,1/($M$3:M373="8"),ROW($M$3:M373))),IF(COUNTIF($M$3:M373,"9")=0,10^9,LOOKUP(2,1/($M$3:M373="9"),ROW($M$3:M373))))-ROW($M$3)+1),"")),AND(N374&lt;&gt;"",N374=IFERROR(INDEX($N$3:N373,MIN(IF(COUNTIF($N$3:N373,"鼠")=0,10^9,LOOKUP(2,1/($N$3:N373="鼠"),ROW($N$3:N373))),IF(COUNTIF($N$3:N373,"牛")=0,10^9,LOOKUP(2,1/($N$3:N373="牛"),ROW($N$3:N373))),IF(COUNTIF($N$3:N373,"虎")=0,10^9,LOOKUP(2,1/($N$3:N373="虎"),ROW($N$3:N373))),IF(COUNTIF($N$3:N373,"兔")=0,10^9,LOOKUP(2,1/($N$3:N373="兔"),ROW($N$3:N373))),IF(COUNTIF($N$3:N373,"龙")=0,10^9,LOOKUP(2,1/($N$3:N373="龙"),ROW($N$3:N373))),IF(COUNTIF($N$3:N373,"蛇")=0,10^9,LOOKUP(2,1/($N$3:N373="蛇"),ROW($N$3:N373))),IF(COUNTIF($N$3:N373,"马")=0,10^9,LOOKUP(2,1/($N$3:N373="马"),ROW($N$3:N373))),IF(COUNTIF($N$3:N373,"羊")=0,10^9,LOOKUP(2,1/($N$3:N373="羊"),ROW($N$3:N373))),IF(COUNTIF($N$3:N373,"猴")=0,10^9,LOOKUP(2,1/($N$3:N373="猴"),ROW($N$3:N373))),IF(COUNTIF($N$3:N373,"鸡")=0,10^9,LOOKUP(2,1/($N$3:N373="鸡"),ROW($N$3:N373))),IF(COUNTIF($N$3:N373,"狗")=0,10^9,LOOKUP(2,1/($N$3:N373="狗"),ROW($N$3:N373))),IF(COUNTIF($N$3:N373,"猪")=0,10^9,LOOKUP(2,1/($N$3:N373="猪"),ROW($N$3:N373))))-ROW($N$3)+1),""))),0,IF(ISNUMBER(J373),J373+1,1)))</f>
        <v/>
      </c>
      <c r="K374" s="5" t="e">
        <f t="shared" si="36"/>
        <v>#N/A</v>
      </c>
      <c r="M374" s="6" t="str">
        <f t="shared" si="32"/>
        <v/>
      </c>
      <c r="N374" s="2" t="e">
        <f t="shared" si="33"/>
        <v>#N/A</v>
      </c>
      <c r="O374" s="7" t="str">
        <f>IF(M374="","",IF(COUNTIF(M375:$M$1000,M374)&gt;0,"",M374))</f>
        <v/>
      </c>
      <c r="P374" s="8" t="e">
        <f>IF(N374="","",IF(COUNTIF(N375:$N$1000,N374)&gt;0,"",N374))</f>
        <v>#N/A</v>
      </c>
      <c r="Q374" s="21" t="e">
        <f t="shared" si="34"/>
        <v>#NUM!</v>
      </c>
      <c r="R374" s="22" t="e">
        <f t="shared" si="35"/>
        <v>#NUM!</v>
      </c>
      <c r="S374" s="11"/>
      <c r="T374" s="11"/>
      <c r="U374" s="11"/>
      <c r="W374" s="11"/>
      <c r="X374" s="2"/>
      <c r="Y374" s="2"/>
    </row>
    <row r="375" s="1" customFormat="1" spans="1:25">
      <c r="A375" s="2">
        <v>115057010</v>
      </c>
      <c r="B375" s="2"/>
      <c r="C375" s="2"/>
      <c r="D375" s="2"/>
      <c r="E375" s="2"/>
      <c r="F375" s="2"/>
      <c r="G375" s="2"/>
      <c r="H375" s="3"/>
      <c r="I375" s="2" t="e">
        <f t="shared" si="31"/>
        <v>#N/A</v>
      </c>
      <c r="J375" s="4" t="str">
        <f>IF(H375="","",IF(OR(AND(M375&lt;&gt;"",M375=IFERROR(INDEX($M$3:M374,MIN(IF(COUNTIF($M$3:M374,"0")=0,10^9,LOOKUP(2,1/($M$3:M374="0"),ROW($M$3:M374))),IF(COUNTIF($M$3:M374,"1")=0,10^9,LOOKUP(2,1/($M$3:M374="1"),ROW($M$3:M374))),IF(COUNTIF($M$3:M374,"2")=0,10^9,LOOKUP(2,1/($M$3:M374="2"),ROW($M$3:M374))),IF(COUNTIF($M$3:M374,"3")=0,10^9,LOOKUP(2,1/($M$3:M374="3"),ROW($M$3:M374))),IF(COUNTIF($M$3:M374,"4")=0,10^9,LOOKUP(2,1/($M$3:M374="4"),ROW($M$3:M374))),IF(COUNTIF($M$3:M374,"5")=0,10^9,LOOKUP(2,1/($M$3:M374="5"),ROW($M$3:M374))),IF(COUNTIF($M$3:M374,"6")=0,10^9,LOOKUP(2,1/($M$3:M374="6"),ROW($M$3:M374))),IF(COUNTIF($M$3:M374,"7")=0,10^9,LOOKUP(2,1/($M$3:M374="7"),ROW($M$3:M374))),IF(COUNTIF($M$3:M374,"8")=0,10^9,LOOKUP(2,1/($M$3:M374="8"),ROW($M$3:M374))),IF(COUNTIF($M$3:M374,"9")=0,10^9,LOOKUP(2,1/($M$3:M374="9"),ROW($M$3:M374))))-ROW($M$3)+1),"")),AND(N375&lt;&gt;"",N375=IFERROR(INDEX($N$3:N374,MIN(IF(COUNTIF($N$3:N374,"鼠")=0,10^9,LOOKUP(2,1/($N$3:N374="鼠"),ROW($N$3:N374))),IF(COUNTIF($N$3:N374,"牛")=0,10^9,LOOKUP(2,1/($N$3:N374="牛"),ROW($N$3:N374))),IF(COUNTIF($N$3:N374,"虎")=0,10^9,LOOKUP(2,1/($N$3:N374="虎"),ROW($N$3:N374))),IF(COUNTIF($N$3:N374,"兔")=0,10^9,LOOKUP(2,1/($N$3:N374="兔"),ROW($N$3:N374))),IF(COUNTIF($N$3:N374,"龙")=0,10^9,LOOKUP(2,1/($N$3:N374="龙"),ROW($N$3:N374))),IF(COUNTIF($N$3:N374,"蛇")=0,10^9,LOOKUP(2,1/($N$3:N374="蛇"),ROW($N$3:N374))),IF(COUNTIF($N$3:N374,"马")=0,10^9,LOOKUP(2,1/($N$3:N374="马"),ROW($N$3:N374))),IF(COUNTIF($N$3:N374,"羊")=0,10^9,LOOKUP(2,1/($N$3:N374="羊"),ROW($N$3:N374))),IF(COUNTIF($N$3:N374,"猴")=0,10^9,LOOKUP(2,1/($N$3:N374="猴"),ROW($N$3:N374))),IF(COUNTIF($N$3:N374,"鸡")=0,10^9,LOOKUP(2,1/($N$3:N374="鸡"),ROW($N$3:N374))),IF(COUNTIF($N$3:N374,"狗")=0,10^9,LOOKUP(2,1/($N$3:N374="狗"),ROW($N$3:N374))),IF(COUNTIF($N$3:N374,"猪")=0,10^9,LOOKUP(2,1/($N$3:N374="猪"),ROW($N$3:N374))))-ROW($N$3)+1),""))),0,IF(ISNUMBER(J374),J374+1,1)))</f>
        <v/>
      </c>
      <c r="K375" s="5" t="e">
        <f t="shared" si="36"/>
        <v>#N/A</v>
      </c>
      <c r="M375" s="6" t="str">
        <f t="shared" si="32"/>
        <v/>
      </c>
      <c r="N375" s="2" t="e">
        <f t="shared" si="33"/>
        <v>#N/A</v>
      </c>
      <c r="O375" s="7" t="str">
        <f>IF(M375="","",IF(COUNTIF(M376:$M$1000,M375)&gt;0,"",M375))</f>
        <v/>
      </c>
      <c r="P375" s="8" t="e">
        <f>IF(N375="","",IF(COUNTIF(N376:$N$1000,N375)&gt;0,"",N375))</f>
        <v>#N/A</v>
      </c>
      <c r="Q375" s="21" t="e">
        <f t="shared" si="34"/>
        <v>#NUM!</v>
      </c>
      <c r="R375" s="22" t="e">
        <f t="shared" si="35"/>
        <v>#NUM!</v>
      </c>
      <c r="S375" s="11"/>
      <c r="T375" s="11"/>
      <c r="U375" s="11"/>
      <c r="W375" s="11"/>
      <c r="X375" s="2"/>
      <c r="Y375" s="2"/>
    </row>
    <row r="376" s="1" customFormat="1" spans="1:25">
      <c r="A376" s="2">
        <v>115057011</v>
      </c>
      <c r="B376" s="2"/>
      <c r="C376" s="2"/>
      <c r="D376" s="2"/>
      <c r="E376" s="2"/>
      <c r="F376" s="2"/>
      <c r="G376" s="2"/>
      <c r="H376" s="3"/>
      <c r="I376" s="2" t="e">
        <f t="shared" si="31"/>
        <v>#N/A</v>
      </c>
      <c r="J376" s="4" t="str">
        <f>IF(H376="","",IF(OR(AND(M376&lt;&gt;"",M376=IFERROR(INDEX($M$3:M375,MIN(IF(COUNTIF($M$3:M375,"0")=0,10^9,LOOKUP(2,1/($M$3:M375="0"),ROW($M$3:M375))),IF(COUNTIF($M$3:M375,"1")=0,10^9,LOOKUP(2,1/($M$3:M375="1"),ROW($M$3:M375))),IF(COUNTIF($M$3:M375,"2")=0,10^9,LOOKUP(2,1/($M$3:M375="2"),ROW($M$3:M375))),IF(COUNTIF($M$3:M375,"3")=0,10^9,LOOKUP(2,1/($M$3:M375="3"),ROW($M$3:M375))),IF(COUNTIF($M$3:M375,"4")=0,10^9,LOOKUP(2,1/($M$3:M375="4"),ROW($M$3:M375))),IF(COUNTIF($M$3:M375,"5")=0,10^9,LOOKUP(2,1/($M$3:M375="5"),ROW($M$3:M375))),IF(COUNTIF($M$3:M375,"6")=0,10^9,LOOKUP(2,1/($M$3:M375="6"),ROW($M$3:M375))),IF(COUNTIF($M$3:M375,"7")=0,10^9,LOOKUP(2,1/($M$3:M375="7"),ROW($M$3:M375))),IF(COUNTIF($M$3:M375,"8")=0,10^9,LOOKUP(2,1/($M$3:M375="8"),ROW($M$3:M375))),IF(COUNTIF($M$3:M375,"9")=0,10^9,LOOKUP(2,1/($M$3:M375="9"),ROW($M$3:M375))))-ROW($M$3)+1),"")),AND(N376&lt;&gt;"",N376=IFERROR(INDEX($N$3:N375,MIN(IF(COUNTIF($N$3:N375,"鼠")=0,10^9,LOOKUP(2,1/($N$3:N375="鼠"),ROW($N$3:N375))),IF(COUNTIF($N$3:N375,"牛")=0,10^9,LOOKUP(2,1/($N$3:N375="牛"),ROW($N$3:N375))),IF(COUNTIF($N$3:N375,"虎")=0,10^9,LOOKUP(2,1/($N$3:N375="虎"),ROW($N$3:N375))),IF(COUNTIF($N$3:N375,"兔")=0,10^9,LOOKUP(2,1/($N$3:N375="兔"),ROW($N$3:N375))),IF(COUNTIF($N$3:N375,"龙")=0,10^9,LOOKUP(2,1/($N$3:N375="龙"),ROW($N$3:N375))),IF(COUNTIF($N$3:N375,"蛇")=0,10^9,LOOKUP(2,1/($N$3:N375="蛇"),ROW($N$3:N375))),IF(COUNTIF($N$3:N375,"马")=0,10^9,LOOKUP(2,1/($N$3:N375="马"),ROW($N$3:N375))),IF(COUNTIF($N$3:N375,"羊")=0,10^9,LOOKUP(2,1/($N$3:N375="羊"),ROW($N$3:N375))),IF(COUNTIF($N$3:N375,"猴")=0,10^9,LOOKUP(2,1/($N$3:N375="猴"),ROW($N$3:N375))),IF(COUNTIF($N$3:N375,"鸡")=0,10^9,LOOKUP(2,1/($N$3:N375="鸡"),ROW($N$3:N375))),IF(COUNTIF($N$3:N375,"狗")=0,10^9,LOOKUP(2,1/($N$3:N375="狗"),ROW($N$3:N375))),IF(COUNTIF($N$3:N375,"猪")=0,10^9,LOOKUP(2,1/($N$3:N375="猪"),ROW($N$3:N375))))-ROW($N$3)+1),""))),0,IF(ISNUMBER(J375),J375+1,1)))</f>
        <v/>
      </c>
      <c r="K376" s="5" t="e">
        <f t="shared" si="36"/>
        <v>#N/A</v>
      </c>
      <c r="M376" s="6" t="str">
        <f t="shared" si="32"/>
        <v/>
      </c>
      <c r="N376" s="2" t="e">
        <f t="shared" si="33"/>
        <v>#N/A</v>
      </c>
      <c r="O376" s="7" t="str">
        <f>IF(M376="","",IF(COUNTIF(M377:$M$1000,M376)&gt;0,"",M376))</f>
        <v/>
      </c>
      <c r="P376" s="8" t="e">
        <f>IF(N376="","",IF(COUNTIF(N377:$N$1000,N376)&gt;0,"",N376))</f>
        <v>#N/A</v>
      </c>
      <c r="Q376" s="21" t="e">
        <f t="shared" si="34"/>
        <v>#NUM!</v>
      </c>
      <c r="R376" s="22" t="e">
        <f t="shared" si="35"/>
        <v>#NUM!</v>
      </c>
      <c r="S376" s="11"/>
      <c r="T376" s="11"/>
      <c r="U376" s="11"/>
      <c r="W376" s="11"/>
      <c r="X376" s="2"/>
      <c r="Y376" s="2"/>
    </row>
    <row r="377" s="1" customFormat="1" spans="1:25">
      <c r="A377" s="2">
        <v>115057012</v>
      </c>
      <c r="B377" s="2"/>
      <c r="C377" s="2"/>
      <c r="D377" s="2"/>
      <c r="E377" s="2"/>
      <c r="F377" s="2"/>
      <c r="G377" s="2"/>
      <c r="H377" s="3"/>
      <c r="I377" s="2" t="e">
        <f t="shared" si="31"/>
        <v>#N/A</v>
      </c>
      <c r="J377" s="4" t="str">
        <f>IF(H377="","",IF(OR(AND(M377&lt;&gt;"",M377=IFERROR(INDEX($M$3:M376,MIN(IF(COUNTIF($M$3:M376,"0")=0,10^9,LOOKUP(2,1/($M$3:M376="0"),ROW($M$3:M376))),IF(COUNTIF($M$3:M376,"1")=0,10^9,LOOKUP(2,1/($M$3:M376="1"),ROW($M$3:M376))),IF(COUNTIF($M$3:M376,"2")=0,10^9,LOOKUP(2,1/($M$3:M376="2"),ROW($M$3:M376))),IF(COUNTIF($M$3:M376,"3")=0,10^9,LOOKUP(2,1/($M$3:M376="3"),ROW($M$3:M376))),IF(COUNTIF($M$3:M376,"4")=0,10^9,LOOKUP(2,1/($M$3:M376="4"),ROW($M$3:M376))),IF(COUNTIF($M$3:M376,"5")=0,10^9,LOOKUP(2,1/($M$3:M376="5"),ROW($M$3:M376))),IF(COUNTIF($M$3:M376,"6")=0,10^9,LOOKUP(2,1/($M$3:M376="6"),ROW($M$3:M376))),IF(COUNTIF($M$3:M376,"7")=0,10^9,LOOKUP(2,1/($M$3:M376="7"),ROW($M$3:M376))),IF(COUNTIF($M$3:M376,"8")=0,10^9,LOOKUP(2,1/($M$3:M376="8"),ROW($M$3:M376))),IF(COUNTIF($M$3:M376,"9")=0,10^9,LOOKUP(2,1/($M$3:M376="9"),ROW($M$3:M376))))-ROW($M$3)+1),"")),AND(N377&lt;&gt;"",N377=IFERROR(INDEX($N$3:N376,MIN(IF(COUNTIF($N$3:N376,"鼠")=0,10^9,LOOKUP(2,1/($N$3:N376="鼠"),ROW($N$3:N376))),IF(COUNTIF($N$3:N376,"牛")=0,10^9,LOOKUP(2,1/($N$3:N376="牛"),ROW($N$3:N376))),IF(COUNTIF($N$3:N376,"虎")=0,10^9,LOOKUP(2,1/($N$3:N376="虎"),ROW($N$3:N376))),IF(COUNTIF($N$3:N376,"兔")=0,10^9,LOOKUP(2,1/($N$3:N376="兔"),ROW($N$3:N376))),IF(COUNTIF($N$3:N376,"龙")=0,10^9,LOOKUP(2,1/($N$3:N376="龙"),ROW($N$3:N376))),IF(COUNTIF($N$3:N376,"蛇")=0,10^9,LOOKUP(2,1/($N$3:N376="蛇"),ROW($N$3:N376))),IF(COUNTIF($N$3:N376,"马")=0,10^9,LOOKUP(2,1/($N$3:N376="马"),ROW($N$3:N376))),IF(COUNTIF($N$3:N376,"羊")=0,10^9,LOOKUP(2,1/($N$3:N376="羊"),ROW($N$3:N376))),IF(COUNTIF($N$3:N376,"猴")=0,10^9,LOOKUP(2,1/($N$3:N376="猴"),ROW($N$3:N376))),IF(COUNTIF($N$3:N376,"鸡")=0,10^9,LOOKUP(2,1/($N$3:N376="鸡"),ROW($N$3:N376))),IF(COUNTIF($N$3:N376,"狗")=0,10^9,LOOKUP(2,1/($N$3:N376="狗"),ROW($N$3:N376))),IF(COUNTIF($N$3:N376,"猪")=0,10^9,LOOKUP(2,1/($N$3:N376="猪"),ROW($N$3:N376))))-ROW($N$3)+1),""))),0,IF(ISNUMBER(J376),J376+1,1)))</f>
        <v/>
      </c>
      <c r="K377" s="5" t="e">
        <f t="shared" si="36"/>
        <v>#N/A</v>
      </c>
      <c r="M377" s="6" t="str">
        <f t="shared" si="32"/>
        <v/>
      </c>
      <c r="N377" s="2" t="e">
        <f t="shared" si="33"/>
        <v>#N/A</v>
      </c>
      <c r="O377" s="7" t="str">
        <f>IF(M377="","",IF(COUNTIF(M378:$M$1000,M377)&gt;0,"",M377))</f>
        <v/>
      </c>
      <c r="P377" s="8" t="e">
        <f>IF(N377="","",IF(COUNTIF(N378:$N$1000,N377)&gt;0,"",N377))</f>
        <v>#N/A</v>
      </c>
      <c r="Q377" s="21" t="e">
        <f t="shared" si="34"/>
        <v>#NUM!</v>
      </c>
      <c r="R377" s="22" t="e">
        <f t="shared" si="35"/>
        <v>#NUM!</v>
      </c>
      <c r="S377" s="11"/>
      <c r="T377" s="11"/>
      <c r="U377" s="11"/>
      <c r="W377" s="11"/>
      <c r="X377" s="2"/>
      <c r="Y377" s="2"/>
    </row>
    <row r="378" s="1" customFormat="1" spans="1:25">
      <c r="A378" s="2">
        <v>115057013</v>
      </c>
      <c r="B378" s="2"/>
      <c r="C378" s="2"/>
      <c r="D378" s="2"/>
      <c r="E378" s="2"/>
      <c r="F378" s="2"/>
      <c r="G378" s="2"/>
      <c r="H378" s="3"/>
      <c r="I378" s="2" t="e">
        <f t="shared" si="31"/>
        <v>#N/A</v>
      </c>
      <c r="J378" s="4" t="str">
        <f>IF(H378="","",IF(OR(AND(M378&lt;&gt;"",M378=IFERROR(INDEX($M$3:M377,MIN(IF(COUNTIF($M$3:M377,"0")=0,10^9,LOOKUP(2,1/($M$3:M377="0"),ROW($M$3:M377))),IF(COUNTIF($M$3:M377,"1")=0,10^9,LOOKUP(2,1/($M$3:M377="1"),ROW($M$3:M377))),IF(COUNTIF($M$3:M377,"2")=0,10^9,LOOKUP(2,1/($M$3:M377="2"),ROW($M$3:M377))),IF(COUNTIF($M$3:M377,"3")=0,10^9,LOOKUP(2,1/($M$3:M377="3"),ROW($M$3:M377))),IF(COUNTIF($M$3:M377,"4")=0,10^9,LOOKUP(2,1/($M$3:M377="4"),ROW($M$3:M377))),IF(COUNTIF($M$3:M377,"5")=0,10^9,LOOKUP(2,1/($M$3:M377="5"),ROW($M$3:M377))),IF(COUNTIF($M$3:M377,"6")=0,10^9,LOOKUP(2,1/($M$3:M377="6"),ROW($M$3:M377))),IF(COUNTIF($M$3:M377,"7")=0,10^9,LOOKUP(2,1/($M$3:M377="7"),ROW($M$3:M377))),IF(COUNTIF($M$3:M377,"8")=0,10^9,LOOKUP(2,1/($M$3:M377="8"),ROW($M$3:M377))),IF(COUNTIF($M$3:M377,"9")=0,10^9,LOOKUP(2,1/($M$3:M377="9"),ROW($M$3:M377))))-ROW($M$3)+1),"")),AND(N378&lt;&gt;"",N378=IFERROR(INDEX($N$3:N377,MIN(IF(COUNTIF($N$3:N377,"鼠")=0,10^9,LOOKUP(2,1/($N$3:N377="鼠"),ROW($N$3:N377))),IF(COUNTIF($N$3:N377,"牛")=0,10^9,LOOKUP(2,1/($N$3:N377="牛"),ROW($N$3:N377))),IF(COUNTIF($N$3:N377,"虎")=0,10^9,LOOKUP(2,1/($N$3:N377="虎"),ROW($N$3:N377))),IF(COUNTIF($N$3:N377,"兔")=0,10^9,LOOKUP(2,1/($N$3:N377="兔"),ROW($N$3:N377))),IF(COUNTIF($N$3:N377,"龙")=0,10^9,LOOKUP(2,1/($N$3:N377="龙"),ROW($N$3:N377))),IF(COUNTIF($N$3:N377,"蛇")=0,10^9,LOOKUP(2,1/($N$3:N377="蛇"),ROW($N$3:N377))),IF(COUNTIF($N$3:N377,"马")=0,10^9,LOOKUP(2,1/($N$3:N377="马"),ROW($N$3:N377))),IF(COUNTIF($N$3:N377,"羊")=0,10^9,LOOKUP(2,1/($N$3:N377="羊"),ROW($N$3:N377))),IF(COUNTIF($N$3:N377,"猴")=0,10^9,LOOKUP(2,1/($N$3:N377="猴"),ROW($N$3:N377))),IF(COUNTIF($N$3:N377,"鸡")=0,10^9,LOOKUP(2,1/($N$3:N377="鸡"),ROW($N$3:N377))),IF(COUNTIF($N$3:N377,"狗")=0,10^9,LOOKUP(2,1/($N$3:N377="狗"),ROW($N$3:N377))),IF(COUNTIF($N$3:N377,"猪")=0,10^9,LOOKUP(2,1/($N$3:N377="猪"),ROW($N$3:N377))))-ROW($N$3)+1),""))),0,IF(ISNUMBER(J377),J377+1,1)))</f>
        <v/>
      </c>
      <c r="K378" s="5" t="e">
        <f t="shared" si="36"/>
        <v>#N/A</v>
      </c>
      <c r="M378" s="6" t="str">
        <f t="shared" si="32"/>
        <v/>
      </c>
      <c r="N378" s="2" t="e">
        <f t="shared" si="33"/>
        <v>#N/A</v>
      </c>
      <c r="O378" s="7" t="str">
        <f>IF(M378="","",IF(COUNTIF(M379:$M$1000,M378)&gt;0,"",M378))</f>
        <v/>
      </c>
      <c r="P378" s="8" t="e">
        <f>IF(N378="","",IF(COUNTIF(N379:$N$1000,N378)&gt;0,"",N378))</f>
        <v>#N/A</v>
      </c>
      <c r="Q378" s="21" t="e">
        <f t="shared" si="34"/>
        <v>#NUM!</v>
      </c>
      <c r="R378" s="22" t="e">
        <f t="shared" si="35"/>
        <v>#NUM!</v>
      </c>
      <c r="S378" s="11"/>
      <c r="T378" s="11"/>
      <c r="U378" s="11"/>
      <c r="W378" s="11"/>
      <c r="X378" s="2"/>
      <c r="Y378" s="2"/>
    </row>
    <row r="379" s="1" customFormat="1" spans="1:25">
      <c r="A379" s="2">
        <v>115057014</v>
      </c>
      <c r="B379" s="2"/>
      <c r="C379" s="2"/>
      <c r="D379" s="2"/>
      <c r="E379" s="2"/>
      <c r="F379" s="2"/>
      <c r="G379" s="2"/>
      <c r="H379" s="3"/>
      <c r="I379" s="2" t="e">
        <f t="shared" si="31"/>
        <v>#N/A</v>
      </c>
      <c r="J379" s="4" t="str">
        <f>IF(H379="","",IF(OR(AND(M379&lt;&gt;"",M379=IFERROR(INDEX($M$3:M378,MIN(IF(COUNTIF($M$3:M378,"0")=0,10^9,LOOKUP(2,1/($M$3:M378="0"),ROW($M$3:M378))),IF(COUNTIF($M$3:M378,"1")=0,10^9,LOOKUP(2,1/($M$3:M378="1"),ROW($M$3:M378))),IF(COUNTIF($M$3:M378,"2")=0,10^9,LOOKUP(2,1/($M$3:M378="2"),ROW($M$3:M378))),IF(COUNTIF($M$3:M378,"3")=0,10^9,LOOKUP(2,1/($M$3:M378="3"),ROW($M$3:M378))),IF(COUNTIF($M$3:M378,"4")=0,10^9,LOOKUP(2,1/($M$3:M378="4"),ROW($M$3:M378))),IF(COUNTIF($M$3:M378,"5")=0,10^9,LOOKUP(2,1/($M$3:M378="5"),ROW($M$3:M378))),IF(COUNTIF($M$3:M378,"6")=0,10^9,LOOKUP(2,1/($M$3:M378="6"),ROW($M$3:M378))),IF(COUNTIF($M$3:M378,"7")=0,10^9,LOOKUP(2,1/($M$3:M378="7"),ROW($M$3:M378))),IF(COUNTIF($M$3:M378,"8")=0,10^9,LOOKUP(2,1/($M$3:M378="8"),ROW($M$3:M378))),IF(COUNTIF($M$3:M378,"9")=0,10^9,LOOKUP(2,1/($M$3:M378="9"),ROW($M$3:M378))))-ROW($M$3)+1),"")),AND(N379&lt;&gt;"",N379=IFERROR(INDEX($N$3:N378,MIN(IF(COUNTIF($N$3:N378,"鼠")=0,10^9,LOOKUP(2,1/($N$3:N378="鼠"),ROW($N$3:N378))),IF(COUNTIF($N$3:N378,"牛")=0,10^9,LOOKUP(2,1/($N$3:N378="牛"),ROW($N$3:N378))),IF(COUNTIF($N$3:N378,"虎")=0,10^9,LOOKUP(2,1/($N$3:N378="虎"),ROW($N$3:N378))),IF(COUNTIF($N$3:N378,"兔")=0,10^9,LOOKUP(2,1/($N$3:N378="兔"),ROW($N$3:N378))),IF(COUNTIF($N$3:N378,"龙")=0,10^9,LOOKUP(2,1/($N$3:N378="龙"),ROW($N$3:N378))),IF(COUNTIF($N$3:N378,"蛇")=0,10^9,LOOKUP(2,1/($N$3:N378="蛇"),ROW($N$3:N378))),IF(COUNTIF($N$3:N378,"马")=0,10^9,LOOKUP(2,1/($N$3:N378="马"),ROW($N$3:N378))),IF(COUNTIF($N$3:N378,"羊")=0,10^9,LOOKUP(2,1/($N$3:N378="羊"),ROW($N$3:N378))),IF(COUNTIF($N$3:N378,"猴")=0,10^9,LOOKUP(2,1/($N$3:N378="猴"),ROW($N$3:N378))),IF(COUNTIF($N$3:N378,"鸡")=0,10^9,LOOKUP(2,1/($N$3:N378="鸡"),ROW($N$3:N378))),IF(COUNTIF($N$3:N378,"狗")=0,10^9,LOOKUP(2,1/($N$3:N378="狗"),ROW($N$3:N378))),IF(COUNTIF($N$3:N378,"猪")=0,10^9,LOOKUP(2,1/($N$3:N378="猪"),ROW($N$3:N378))))-ROW($N$3)+1),""))),0,IF(ISNUMBER(J378),J378+1,1)))</f>
        <v/>
      </c>
      <c r="K379" s="5" t="e">
        <f t="shared" si="36"/>
        <v>#N/A</v>
      </c>
      <c r="M379" s="6" t="str">
        <f t="shared" si="32"/>
        <v/>
      </c>
      <c r="N379" s="2" t="e">
        <f t="shared" si="33"/>
        <v>#N/A</v>
      </c>
      <c r="O379" s="7" t="str">
        <f>IF(M379="","",IF(COUNTIF(M380:$M$1000,M379)&gt;0,"",M379))</f>
        <v/>
      </c>
      <c r="P379" s="8" t="e">
        <f>IF(N379="","",IF(COUNTIF(N380:$N$1000,N379)&gt;0,"",N379))</f>
        <v>#N/A</v>
      </c>
      <c r="Q379" s="21" t="e">
        <f t="shared" si="34"/>
        <v>#NUM!</v>
      </c>
      <c r="R379" s="22" t="e">
        <f t="shared" si="35"/>
        <v>#NUM!</v>
      </c>
      <c r="S379" s="11"/>
      <c r="T379" s="11"/>
      <c r="U379" s="11"/>
      <c r="W379" s="11"/>
      <c r="X379" s="2"/>
      <c r="Y379" s="2"/>
    </row>
    <row r="380" s="1" customFormat="1" spans="1:25">
      <c r="A380" s="2">
        <v>115057015</v>
      </c>
      <c r="B380" s="2"/>
      <c r="C380" s="2"/>
      <c r="D380" s="2"/>
      <c r="E380" s="2"/>
      <c r="F380" s="2"/>
      <c r="G380" s="2"/>
      <c r="H380" s="3"/>
      <c r="I380" s="2" t="e">
        <f t="shared" si="31"/>
        <v>#N/A</v>
      </c>
      <c r="J380" s="4" t="str">
        <f>IF(H380="","",IF(OR(AND(M380&lt;&gt;"",M380=IFERROR(INDEX($M$3:M379,MIN(IF(COUNTIF($M$3:M379,"0")=0,10^9,LOOKUP(2,1/($M$3:M379="0"),ROW($M$3:M379))),IF(COUNTIF($M$3:M379,"1")=0,10^9,LOOKUP(2,1/($M$3:M379="1"),ROW($M$3:M379))),IF(COUNTIF($M$3:M379,"2")=0,10^9,LOOKUP(2,1/($M$3:M379="2"),ROW($M$3:M379))),IF(COUNTIF($M$3:M379,"3")=0,10^9,LOOKUP(2,1/($M$3:M379="3"),ROW($M$3:M379))),IF(COUNTIF($M$3:M379,"4")=0,10^9,LOOKUP(2,1/($M$3:M379="4"),ROW($M$3:M379))),IF(COUNTIF($M$3:M379,"5")=0,10^9,LOOKUP(2,1/($M$3:M379="5"),ROW($M$3:M379))),IF(COUNTIF($M$3:M379,"6")=0,10^9,LOOKUP(2,1/($M$3:M379="6"),ROW($M$3:M379))),IF(COUNTIF($M$3:M379,"7")=0,10^9,LOOKUP(2,1/($M$3:M379="7"),ROW($M$3:M379))),IF(COUNTIF($M$3:M379,"8")=0,10^9,LOOKUP(2,1/($M$3:M379="8"),ROW($M$3:M379))),IF(COUNTIF($M$3:M379,"9")=0,10^9,LOOKUP(2,1/($M$3:M379="9"),ROW($M$3:M379))))-ROW($M$3)+1),"")),AND(N380&lt;&gt;"",N380=IFERROR(INDEX($N$3:N379,MIN(IF(COUNTIF($N$3:N379,"鼠")=0,10^9,LOOKUP(2,1/($N$3:N379="鼠"),ROW($N$3:N379))),IF(COUNTIF($N$3:N379,"牛")=0,10^9,LOOKUP(2,1/($N$3:N379="牛"),ROW($N$3:N379))),IF(COUNTIF($N$3:N379,"虎")=0,10^9,LOOKUP(2,1/($N$3:N379="虎"),ROW($N$3:N379))),IF(COUNTIF($N$3:N379,"兔")=0,10^9,LOOKUP(2,1/($N$3:N379="兔"),ROW($N$3:N379))),IF(COUNTIF($N$3:N379,"龙")=0,10^9,LOOKUP(2,1/($N$3:N379="龙"),ROW($N$3:N379))),IF(COUNTIF($N$3:N379,"蛇")=0,10^9,LOOKUP(2,1/($N$3:N379="蛇"),ROW($N$3:N379))),IF(COUNTIF($N$3:N379,"马")=0,10^9,LOOKUP(2,1/($N$3:N379="马"),ROW($N$3:N379))),IF(COUNTIF($N$3:N379,"羊")=0,10^9,LOOKUP(2,1/($N$3:N379="羊"),ROW($N$3:N379))),IF(COUNTIF($N$3:N379,"猴")=0,10^9,LOOKUP(2,1/($N$3:N379="猴"),ROW($N$3:N379))),IF(COUNTIF($N$3:N379,"鸡")=0,10^9,LOOKUP(2,1/($N$3:N379="鸡"),ROW($N$3:N379))),IF(COUNTIF($N$3:N379,"狗")=0,10^9,LOOKUP(2,1/($N$3:N379="狗"),ROW($N$3:N379))),IF(COUNTIF($N$3:N379,"猪")=0,10^9,LOOKUP(2,1/($N$3:N379="猪"),ROW($N$3:N379))))-ROW($N$3)+1),""))),0,IF(ISNUMBER(J379),J379+1,1)))</f>
        <v/>
      </c>
      <c r="K380" s="5" t="e">
        <f t="shared" si="36"/>
        <v>#N/A</v>
      </c>
      <c r="M380" s="6" t="str">
        <f t="shared" si="32"/>
        <v/>
      </c>
      <c r="N380" s="2" t="e">
        <f t="shared" si="33"/>
        <v>#N/A</v>
      </c>
      <c r="O380" s="7" t="str">
        <f>IF(M380="","",IF(COUNTIF(M381:$M$1000,M380)&gt;0,"",M380))</f>
        <v/>
      </c>
      <c r="P380" s="8" t="e">
        <f>IF(N380="","",IF(COUNTIF(N381:$N$1000,N380)&gt;0,"",N380))</f>
        <v>#N/A</v>
      </c>
      <c r="Q380" s="21" t="e">
        <f t="shared" si="34"/>
        <v>#NUM!</v>
      </c>
      <c r="R380" s="22" t="e">
        <f t="shared" si="35"/>
        <v>#NUM!</v>
      </c>
      <c r="S380" s="11"/>
      <c r="T380" s="11"/>
      <c r="U380" s="11"/>
      <c r="W380" s="11"/>
      <c r="X380" s="2"/>
      <c r="Y380" s="2"/>
    </row>
    <row r="381" s="1" customFormat="1" spans="1:25">
      <c r="A381" s="2">
        <v>115057016</v>
      </c>
      <c r="B381" s="2"/>
      <c r="C381" s="2"/>
      <c r="D381" s="2"/>
      <c r="E381" s="2"/>
      <c r="F381" s="2"/>
      <c r="G381" s="2"/>
      <c r="H381" s="3"/>
      <c r="I381" s="2" t="e">
        <f t="shared" si="31"/>
        <v>#N/A</v>
      </c>
      <c r="J381" s="4" t="str">
        <f>IF(H381="","",IF(OR(AND(M381&lt;&gt;"",M381=IFERROR(INDEX($M$3:M380,MIN(IF(COUNTIF($M$3:M380,"0")=0,10^9,LOOKUP(2,1/($M$3:M380="0"),ROW($M$3:M380))),IF(COUNTIF($M$3:M380,"1")=0,10^9,LOOKUP(2,1/($M$3:M380="1"),ROW($M$3:M380))),IF(COUNTIF($M$3:M380,"2")=0,10^9,LOOKUP(2,1/($M$3:M380="2"),ROW($M$3:M380))),IF(COUNTIF($M$3:M380,"3")=0,10^9,LOOKUP(2,1/($M$3:M380="3"),ROW($M$3:M380))),IF(COUNTIF($M$3:M380,"4")=0,10^9,LOOKUP(2,1/($M$3:M380="4"),ROW($M$3:M380))),IF(COUNTIF($M$3:M380,"5")=0,10^9,LOOKUP(2,1/($M$3:M380="5"),ROW($M$3:M380))),IF(COUNTIF($M$3:M380,"6")=0,10^9,LOOKUP(2,1/($M$3:M380="6"),ROW($M$3:M380))),IF(COUNTIF($M$3:M380,"7")=0,10^9,LOOKUP(2,1/($M$3:M380="7"),ROW($M$3:M380))),IF(COUNTIF($M$3:M380,"8")=0,10^9,LOOKUP(2,1/($M$3:M380="8"),ROW($M$3:M380))),IF(COUNTIF($M$3:M380,"9")=0,10^9,LOOKUP(2,1/($M$3:M380="9"),ROW($M$3:M380))))-ROW($M$3)+1),"")),AND(N381&lt;&gt;"",N381=IFERROR(INDEX($N$3:N380,MIN(IF(COUNTIF($N$3:N380,"鼠")=0,10^9,LOOKUP(2,1/($N$3:N380="鼠"),ROW($N$3:N380))),IF(COUNTIF($N$3:N380,"牛")=0,10^9,LOOKUP(2,1/($N$3:N380="牛"),ROW($N$3:N380))),IF(COUNTIF($N$3:N380,"虎")=0,10^9,LOOKUP(2,1/($N$3:N380="虎"),ROW($N$3:N380))),IF(COUNTIF($N$3:N380,"兔")=0,10^9,LOOKUP(2,1/($N$3:N380="兔"),ROW($N$3:N380))),IF(COUNTIF($N$3:N380,"龙")=0,10^9,LOOKUP(2,1/($N$3:N380="龙"),ROW($N$3:N380))),IF(COUNTIF($N$3:N380,"蛇")=0,10^9,LOOKUP(2,1/($N$3:N380="蛇"),ROW($N$3:N380))),IF(COUNTIF($N$3:N380,"马")=0,10^9,LOOKUP(2,1/($N$3:N380="马"),ROW($N$3:N380))),IF(COUNTIF($N$3:N380,"羊")=0,10^9,LOOKUP(2,1/($N$3:N380="羊"),ROW($N$3:N380))),IF(COUNTIF($N$3:N380,"猴")=0,10^9,LOOKUP(2,1/($N$3:N380="猴"),ROW($N$3:N380))),IF(COUNTIF($N$3:N380,"鸡")=0,10^9,LOOKUP(2,1/($N$3:N380="鸡"),ROW($N$3:N380))),IF(COUNTIF($N$3:N380,"狗")=0,10^9,LOOKUP(2,1/($N$3:N380="狗"),ROW($N$3:N380))),IF(COUNTIF($N$3:N380,"猪")=0,10^9,LOOKUP(2,1/($N$3:N380="猪"),ROW($N$3:N380))))-ROW($N$3)+1),""))),0,IF(ISNUMBER(J380),J380+1,1)))</f>
        <v/>
      </c>
      <c r="K381" s="5" t="e">
        <f t="shared" si="36"/>
        <v>#N/A</v>
      </c>
      <c r="M381" s="6" t="str">
        <f t="shared" si="32"/>
        <v/>
      </c>
      <c r="N381" s="2" t="e">
        <f t="shared" si="33"/>
        <v>#N/A</v>
      </c>
      <c r="O381" s="7" t="str">
        <f>IF(M381="","",IF(COUNTIF(M382:$M$1000,M381)&gt;0,"",M381))</f>
        <v/>
      </c>
      <c r="P381" s="8" t="e">
        <f>IF(N381="","",IF(COUNTIF(N382:$N$1000,N381)&gt;0,"",N381))</f>
        <v>#N/A</v>
      </c>
      <c r="Q381" s="21" t="e">
        <f t="shared" si="34"/>
        <v>#NUM!</v>
      </c>
      <c r="R381" s="22" t="e">
        <f t="shared" si="35"/>
        <v>#NUM!</v>
      </c>
      <c r="S381" s="11"/>
      <c r="T381" s="11"/>
      <c r="U381" s="11"/>
      <c r="W381" s="11"/>
      <c r="X381" s="2"/>
      <c r="Y381" s="2"/>
    </row>
    <row r="382" s="1" customFormat="1" spans="1:25">
      <c r="A382" s="2">
        <v>115057017</v>
      </c>
      <c r="B382" s="2"/>
      <c r="C382" s="2"/>
      <c r="D382" s="2"/>
      <c r="E382" s="2"/>
      <c r="F382" s="2"/>
      <c r="G382" s="2"/>
      <c r="H382" s="3"/>
      <c r="I382" s="2" t="e">
        <f t="shared" si="31"/>
        <v>#N/A</v>
      </c>
      <c r="J382" s="4" t="str">
        <f>IF(H382="","",IF(OR(AND(M382&lt;&gt;"",M382=IFERROR(INDEX($M$3:M381,MIN(IF(COUNTIF($M$3:M381,"0")=0,10^9,LOOKUP(2,1/($M$3:M381="0"),ROW($M$3:M381))),IF(COUNTIF($M$3:M381,"1")=0,10^9,LOOKUP(2,1/($M$3:M381="1"),ROW($M$3:M381))),IF(COUNTIF($M$3:M381,"2")=0,10^9,LOOKUP(2,1/($M$3:M381="2"),ROW($M$3:M381))),IF(COUNTIF($M$3:M381,"3")=0,10^9,LOOKUP(2,1/($M$3:M381="3"),ROW($M$3:M381))),IF(COUNTIF($M$3:M381,"4")=0,10^9,LOOKUP(2,1/($M$3:M381="4"),ROW($M$3:M381))),IF(COUNTIF($M$3:M381,"5")=0,10^9,LOOKUP(2,1/($M$3:M381="5"),ROW($M$3:M381))),IF(COUNTIF($M$3:M381,"6")=0,10^9,LOOKUP(2,1/($M$3:M381="6"),ROW($M$3:M381))),IF(COUNTIF($M$3:M381,"7")=0,10^9,LOOKUP(2,1/($M$3:M381="7"),ROW($M$3:M381))),IF(COUNTIF($M$3:M381,"8")=0,10^9,LOOKUP(2,1/($M$3:M381="8"),ROW($M$3:M381))),IF(COUNTIF($M$3:M381,"9")=0,10^9,LOOKUP(2,1/($M$3:M381="9"),ROW($M$3:M381))))-ROW($M$3)+1),"")),AND(N382&lt;&gt;"",N382=IFERROR(INDEX($N$3:N381,MIN(IF(COUNTIF($N$3:N381,"鼠")=0,10^9,LOOKUP(2,1/($N$3:N381="鼠"),ROW($N$3:N381))),IF(COUNTIF($N$3:N381,"牛")=0,10^9,LOOKUP(2,1/($N$3:N381="牛"),ROW($N$3:N381))),IF(COUNTIF($N$3:N381,"虎")=0,10^9,LOOKUP(2,1/($N$3:N381="虎"),ROW($N$3:N381))),IF(COUNTIF($N$3:N381,"兔")=0,10^9,LOOKUP(2,1/($N$3:N381="兔"),ROW($N$3:N381))),IF(COUNTIF($N$3:N381,"龙")=0,10^9,LOOKUP(2,1/($N$3:N381="龙"),ROW($N$3:N381))),IF(COUNTIF($N$3:N381,"蛇")=0,10^9,LOOKUP(2,1/($N$3:N381="蛇"),ROW($N$3:N381))),IF(COUNTIF($N$3:N381,"马")=0,10^9,LOOKUP(2,1/($N$3:N381="马"),ROW($N$3:N381))),IF(COUNTIF($N$3:N381,"羊")=0,10^9,LOOKUP(2,1/($N$3:N381="羊"),ROW($N$3:N381))),IF(COUNTIF($N$3:N381,"猴")=0,10^9,LOOKUP(2,1/($N$3:N381="猴"),ROW($N$3:N381))),IF(COUNTIF($N$3:N381,"鸡")=0,10^9,LOOKUP(2,1/($N$3:N381="鸡"),ROW($N$3:N381))),IF(COUNTIF($N$3:N381,"狗")=0,10^9,LOOKUP(2,1/($N$3:N381="狗"),ROW($N$3:N381))),IF(COUNTIF($N$3:N381,"猪")=0,10^9,LOOKUP(2,1/($N$3:N381="猪"),ROW($N$3:N381))))-ROW($N$3)+1),""))),0,IF(ISNUMBER(J381),J381+1,1)))</f>
        <v/>
      </c>
      <c r="K382" s="5" t="e">
        <f t="shared" si="36"/>
        <v>#N/A</v>
      </c>
      <c r="M382" s="6" t="str">
        <f t="shared" si="32"/>
        <v/>
      </c>
      <c r="N382" s="2" t="e">
        <f t="shared" si="33"/>
        <v>#N/A</v>
      </c>
      <c r="O382" s="7" t="str">
        <f>IF(M382="","",IF(COUNTIF(M383:$M$1000,M382)&gt;0,"",M382))</f>
        <v/>
      </c>
      <c r="P382" s="8" t="e">
        <f>IF(N382="","",IF(COUNTIF(N383:$N$1000,N382)&gt;0,"",N382))</f>
        <v>#N/A</v>
      </c>
      <c r="Q382" s="21" t="e">
        <f t="shared" si="34"/>
        <v>#NUM!</v>
      </c>
      <c r="R382" s="22" t="e">
        <f t="shared" si="35"/>
        <v>#NUM!</v>
      </c>
      <c r="S382" s="11"/>
      <c r="T382" s="11"/>
      <c r="U382" s="11"/>
      <c r="W382" s="11"/>
      <c r="X382" s="2"/>
      <c r="Y382" s="2"/>
    </row>
    <row r="383" s="1" customFormat="1" spans="1:25">
      <c r="A383" s="2">
        <v>115057018</v>
      </c>
      <c r="B383" s="2"/>
      <c r="C383" s="2"/>
      <c r="D383" s="2"/>
      <c r="E383" s="2"/>
      <c r="F383" s="2"/>
      <c r="G383" s="2"/>
      <c r="H383" s="3"/>
      <c r="I383" s="2" t="e">
        <f t="shared" si="31"/>
        <v>#N/A</v>
      </c>
      <c r="J383" s="4" t="str">
        <f>IF(H383="","",IF(OR(AND(M383&lt;&gt;"",M383=IFERROR(INDEX($M$3:M382,MIN(IF(COUNTIF($M$3:M382,"0")=0,10^9,LOOKUP(2,1/($M$3:M382="0"),ROW($M$3:M382))),IF(COUNTIF($M$3:M382,"1")=0,10^9,LOOKUP(2,1/($M$3:M382="1"),ROW($M$3:M382))),IF(COUNTIF($M$3:M382,"2")=0,10^9,LOOKUP(2,1/($M$3:M382="2"),ROW($M$3:M382))),IF(COUNTIF($M$3:M382,"3")=0,10^9,LOOKUP(2,1/($M$3:M382="3"),ROW($M$3:M382))),IF(COUNTIF($M$3:M382,"4")=0,10^9,LOOKUP(2,1/($M$3:M382="4"),ROW($M$3:M382))),IF(COUNTIF($M$3:M382,"5")=0,10^9,LOOKUP(2,1/($M$3:M382="5"),ROW($M$3:M382))),IF(COUNTIF($M$3:M382,"6")=0,10^9,LOOKUP(2,1/($M$3:M382="6"),ROW($M$3:M382))),IF(COUNTIF($M$3:M382,"7")=0,10^9,LOOKUP(2,1/($M$3:M382="7"),ROW($M$3:M382))),IF(COUNTIF($M$3:M382,"8")=0,10^9,LOOKUP(2,1/($M$3:M382="8"),ROW($M$3:M382))),IF(COUNTIF($M$3:M382,"9")=0,10^9,LOOKUP(2,1/($M$3:M382="9"),ROW($M$3:M382))))-ROW($M$3)+1),"")),AND(N383&lt;&gt;"",N383=IFERROR(INDEX($N$3:N382,MIN(IF(COUNTIF($N$3:N382,"鼠")=0,10^9,LOOKUP(2,1/($N$3:N382="鼠"),ROW($N$3:N382))),IF(COUNTIF($N$3:N382,"牛")=0,10^9,LOOKUP(2,1/($N$3:N382="牛"),ROW($N$3:N382))),IF(COUNTIF($N$3:N382,"虎")=0,10^9,LOOKUP(2,1/($N$3:N382="虎"),ROW($N$3:N382))),IF(COUNTIF($N$3:N382,"兔")=0,10^9,LOOKUP(2,1/($N$3:N382="兔"),ROW($N$3:N382))),IF(COUNTIF($N$3:N382,"龙")=0,10^9,LOOKUP(2,1/($N$3:N382="龙"),ROW($N$3:N382))),IF(COUNTIF($N$3:N382,"蛇")=0,10^9,LOOKUP(2,1/($N$3:N382="蛇"),ROW($N$3:N382))),IF(COUNTIF($N$3:N382,"马")=0,10^9,LOOKUP(2,1/($N$3:N382="马"),ROW($N$3:N382))),IF(COUNTIF($N$3:N382,"羊")=0,10^9,LOOKUP(2,1/($N$3:N382="羊"),ROW($N$3:N382))),IF(COUNTIF($N$3:N382,"猴")=0,10^9,LOOKUP(2,1/($N$3:N382="猴"),ROW($N$3:N382))),IF(COUNTIF($N$3:N382,"鸡")=0,10^9,LOOKUP(2,1/($N$3:N382="鸡"),ROW($N$3:N382))),IF(COUNTIF($N$3:N382,"狗")=0,10^9,LOOKUP(2,1/($N$3:N382="狗"),ROW($N$3:N382))),IF(COUNTIF($N$3:N382,"猪")=0,10^9,LOOKUP(2,1/($N$3:N382="猪"),ROW($N$3:N382))))-ROW($N$3)+1),""))),0,IF(ISNUMBER(J382),J382+1,1)))</f>
        <v/>
      </c>
      <c r="K383" s="5" t="e">
        <f t="shared" si="36"/>
        <v>#N/A</v>
      </c>
      <c r="M383" s="6" t="str">
        <f t="shared" si="32"/>
        <v/>
      </c>
      <c r="N383" s="2" t="e">
        <f t="shared" si="33"/>
        <v>#N/A</v>
      </c>
      <c r="O383" s="7" t="str">
        <f>IF(M383="","",IF(COUNTIF(M384:$M$1000,M383)&gt;0,"",M383))</f>
        <v/>
      </c>
      <c r="P383" s="8" t="e">
        <f>IF(N383="","",IF(COUNTIF(N384:$N$1000,N383)&gt;0,"",N383))</f>
        <v>#N/A</v>
      </c>
      <c r="Q383" s="21" t="e">
        <f t="shared" si="34"/>
        <v>#NUM!</v>
      </c>
      <c r="R383" s="22" t="e">
        <f t="shared" si="35"/>
        <v>#NUM!</v>
      </c>
      <c r="S383" s="11"/>
      <c r="T383" s="11"/>
      <c r="U383" s="11"/>
      <c r="W383" s="11"/>
      <c r="X383" s="2"/>
      <c r="Y383" s="2"/>
    </row>
    <row r="384" s="1" customFormat="1" spans="1:25">
      <c r="A384" s="2">
        <v>115057019</v>
      </c>
      <c r="B384" s="2"/>
      <c r="C384" s="2"/>
      <c r="D384" s="2"/>
      <c r="E384" s="2"/>
      <c r="F384" s="2"/>
      <c r="G384" s="2"/>
      <c r="H384" s="3"/>
      <c r="I384" s="2" t="e">
        <f t="shared" si="31"/>
        <v>#N/A</v>
      </c>
      <c r="J384" s="4" t="str">
        <f>IF(H384="","",IF(OR(AND(M384&lt;&gt;"",M384=IFERROR(INDEX($M$3:M383,MIN(IF(COUNTIF($M$3:M383,"0")=0,10^9,LOOKUP(2,1/($M$3:M383="0"),ROW($M$3:M383))),IF(COUNTIF($M$3:M383,"1")=0,10^9,LOOKUP(2,1/($M$3:M383="1"),ROW($M$3:M383))),IF(COUNTIF($M$3:M383,"2")=0,10^9,LOOKUP(2,1/($M$3:M383="2"),ROW($M$3:M383))),IF(COUNTIF($M$3:M383,"3")=0,10^9,LOOKUP(2,1/($M$3:M383="3"),ROW($M$3:M383))),IF(COUNTIF($M$3:M383,"4")=0,10^9,LOOKUP(2,1/($M$3:M383="4"),ROW($M$3:M383))),IF(COUNTIF($M$3:M383,"5")=0,10^9,LOOKUP(2,1/($M$3:M383="5"),ROW($M$3:M383))),IF(COUNTIF($M$3:M383,"6")=0,10^9,LOOKUP(2,1/($M$3:M383="6"),ROW($M$3:M383))),IF(COUNTIF($M$3:M383,"7")=0,10^9,LOOKUP(2,1/($M$3:M383="7"),ROW($M$3:M383))),IF(COUNTIF($M$3:M383,"8")=0,10^9,LOOKUP(2,1/($M$3:M383="8"),ROW($M$3:M383))),IF(COUNTIF($M$3:M383,"9")=0,10^9,LOOKUP(2,1/($M$3:M383="9"),ROW($M$3:M383))))-ROW($M$3)+1),"")),AND(N384&lt;&gt;"",N384=IFERROR(INDEX($N$3:N383,MIN(IF(COUNTIF($N$3:N383,"鼠")=0,10^9,LOOKUP(2,1/($N$3:N383="鼠"),ROW($N$3:N383))),IF(COUNTIF($N$3:N383,"牛")=0,10^9,LOOKUP(2,1/($N$3:N383="牛"),ROW($N$3:N383))),IF(COUNTIF($N$3:N383,"虎")=0,10^9,LOOKUP(2,1/($N$3:N383="虎"),ROW($N$3:N383))),IF(COUNTIF($N$3:N383,"兔")=0,10^9,LOOKUP(2,1/($N$3:N383="兔"),ROW($N$3:N383))),IF(COUNTIF($N$3:N383,"龙")=0,10^9,LOOKUP(2,1/($N$3:N383="龙"),ROW($N$3:N383))),IF(COUNTIF($N$3:N383,"蛇")=0,10^9,LOOKUP(2,1/($N$3:N383="蛇"),ROW($N$3:N383))),IF(COUNTIF($N$3:N383,"马")=0,10^9,LOOKUP(2,1/($N$3:N383="马"),ROW($N$3:N383))),IF(COUNTIF($N$3:N383,"羊")=0,10^9,LOOKUP(2,1/($N$3:N383="羊"),ROW($N$3:N383))),IF(COUNTIF($N$3:N383,"猴")=0,10^9,LOOKUP(2,1/($N$3:N383="猴"),ROW($N$3:N383))),IF(COUNTIF($N$3:N383,"鸡")=0,10^9,LOOKUP(2,1/($N$3:N383="鸡"),ROW($N$3:N383))),IF(COUNTIF($N$3:N383,"狗")=0,10^9,LOOKUP(2,1/($N$3:N383="狗"),ROW($N$3:N383))),IF(COUNTIF($N$3:N383,"猪")=0,10^9,LOOKUP(2,1/($N$3:N383="猪"),ROW($N$3:N383))))-ROW($N$3)+1),""))),0,IF(ISNUMBER(J383),J383+1,1)))</f>
        <v/>
      </c>
      <c r="K384" s="5" t="e">
        <f t="shared" si="36"/>
        <v>#N/A</v>
      </c>
      <c r="M384" s="6" t="str">
        <f t="shared" si="32"/>
        <v/>
      </c>
      <c r="N384" s="2" t="e">
        <f t="shared" si="33"/>
        <v>#N/A</v>
      </c>
      <c r="O384" s="7" t="str">
        <f>IF(M384="","",IF(COUNTIF(M385:$M$1000,M384)&gt;0,"",M384))</f>
        <v/>
      </c>
      <c r="P384" s="8" t="e">
        <f>IF(N384="","",IF(COUNTIF(N385:$N$1000,N384)&gt;0,"",N384))</f>
        <v>#N/A</v>
      </c>
      <c r="Q384" s="21" t="e">
        <f t="shared" si="34"/>
        <v>#NUM!</v>
      </c>
      <c r="R384" s="22" t="e">
        <f t="shared" si="35"/>
        <v>#NUM!</v>
      </c>
      <c r="S384" s="11"/>
      <c r="T384" s="11"/>
      <c r="U384" s="11"/>
      <c r="W384" s="11"/>
      <c r="X384" s="2"/>
      <c r="Y384" s="2"/>
    </row>
    <row r="385" s="1" customFormat="1" spans="1:25">
      <c r="A385" s="2">
        <v>115057020</v>
      </c>
      <c r="B385" s="2"/>
      <c r="C385" s="2"/>
      <c r="D385" s="2"/>
      <c r="E385" s="2"/>
      <c r="F385" s="2"/>
      <c r="G385" s="2"/>
      <c r="H385" s="3"/>
      <c r="I385" s="2" t="e">
        <f t="shared" si="31"/>
        <v>#N/A</v>
      </c>
      <c r="J385" s="4" t="str">
        <f>IF(H385="","",IF(OR(AND(M385&lt;&gt;"",M385=IFERROR(INDEX($M$3:M384,MIN(IF(COUNTIF($M$3:M384,"0")=0,10^9,LOOKUP(2,1/($M$3:M384="0"),ROW($M$3:M384))),IF(COUNTIF($M$3:M384,"1")=0,10^9,LOOKUP(2,1/($M$3:M384="1"),ROW($M$3:M384))),IF(COUNTIF($M$3:M384,"2")=0,10^9,LOOKUP(2,1/($M$3:M384="2"),ROW($M$3:M384))),IF(COUNTIF($M$3:M384,"3")=0,10^9,LOOKUP(2,1/($M$3:M384="3"),ROW($M$3:M384))),IF(COUNTIF($M$3:M384,"4")=0,10^9,LOOKUP(2,1/($M$3:M384="4"),ROW($M$3:M384))),IF(COUNTIF($M$3:M384,"5")=0,10^9,LOOKUP(2,1/($M$3:M384="5"),ROW($M$3:M384))),IF(COUNTIF($M$3:M384,"6")=0,10^9,LOOKUP(2,1/($M$3:M384="6"),ROW($M$3:M384))),IF(COUNTIF($M$3:M384,"7")=0,10^9,LOOKUP(2,1/($M$3:M384="7"),ROW($M$3:M384))),IF(COUNTIF($M$3:M384,"8")=0,10^9,LOOKUP(2,1/($M$3:M384="8"),ROW($M$3:M384))),IF(COUNTIF($M$3:M384,"9")=0,10^9,LOOKUP(2,1/($M$3:M384="9"),ROW($M$3:M384))))-ROW($M$3)+1),"")),AND(N385&lt;&gt;"",N385=IFERROR(INDEX($N$3:N384,MIN(IF(COUNTIF($N$3:N384,"鼠")=0,10^9,LOOKUP(2,1/($N$3:N384="鼠"),ROW($N$3:N384))),IF(COUNTIF($N$3:N384,"牛")=0,10^9,LOOKUP(2,1/($N$3:N384="牛"),ROW($N$3:N384))),IF(COUNTIF($N$3:N384,"虎")=0,10^9,LOOKUP(2,1/($N$3:N384="虎"),ROW($N$3:N384))),IF(COUNTIF($N$3:N384,"兔")=0,10^9,LOOKUP(2,1/($N$3:N384="兔"),ROW($N$3:N384))),IF(COUNTIF($N$3:N384,"龙")=0,10^9,LOOKUP(2,1/($N$3:N384="龙"),ROW($N$3:N384))),IF(COUNTIF($N$3:N384,"蛇")=0,10^9,LOOKUP(2,1/($N$3:N384="蛇"),ROW($N$3:N384))),IF(COUNTIF($N$3:N384,"马")=0,10^9,LOOKUP(2,1/($N$3:N384="马"),ROW($N$3:N384))),IF(COUNTIF($N$3:N384,"羊")=0,10^9,LOOKUP(2,1/($N$3:N384="羊"),ROW($N$3:N384))),IF(COUNTIF($N$3:N384,"猴")=0,10^9,LOOKUP(2,1/($N$3:N384="猴"),ROW($N$3:N384))),IF(COUNTIF($N$3:N384,"鸡")=0,10^9,LOOKUP(2,1/($N$3:N384="鸡"),ROW($N$3:N384))),IF(COUNTIF($N$3:N384,"狗")=0,10^9,LOOKUP(2,1/($N$3:N384="狗"),ROW($N$3:N384))),IF(COUNTIF($N$3:N384,"猪")=0,10^9,LOOKUP(2,1/($N$3:N384="猪"),ROW($N$3:N384))))-ROW($N$3)+1),""))),0,IF(ISNUMBER(J384),J384+1,1)))</f>
        <v/>
      </c>
      <c r="K385" s="5" t="e">
        <f t="shared" si="36"/>
        <v>#N/A</v>
      </c>
      <c r="M385" s="6" t="str">
        <f t="shared" si="32"/>
        <v/>
      </c>
      <c r="N385" s="2" t="e">
        <f t="shared" si="33"/>
        <v>#N/A</v>
      </c>
      <c r="O385" s="7" t="str">
        <f>IF(M385="","",IF(COUNTIF(M386:$M$1000,M385)&gt;0,"",M385))</f>
        <v/>
      </c>
      <c r="P385" s="8" t="e">
        <f>IF(N385="","",IF(COUNTIF(N386:$N$1000,N385)&gt;0,"",N385))</f>
        <v>#N/A</v>
      </c>
      <c r="Q385" s="21" t="e">
        <f t="shared" si="34"/>
        <v>#NUM!</v>
      </c>
      <c r="R385" s="22" t="e">
        <f t="shared" si="35"/>
        <v>#NUM!</v>
      </c>
      <c r="S385" s="11"/>
      <c r="T385" s="11"/>
      <c r="U385" s="11"/>
      <c r="W385" s="11"/>
      <c r="X385" s="2"/>
      <c r="Y385" s="2"/>
    </row>
    <row r="386" s="1" customFormat="1" spans="1:25">
      <c r="A386" s="2">
        <v>115057021</v>
      </c>
      <c r="B386" s="2"/>
      <c r="C386" s="2"/>
      <c r="D386" s="2"/>
      <c r="E386" s="2"/>
      <c r="F386" s="2"/>
      <c r="G386" s="2"/>
      <c r="H386" s="3"/>
      <c r="I386" s="2" t="e">
        <f t="shared" si="31"/>
        <v>#N/A</v>
      </c>
      <c r="J386" s="4" t="str">
        <f>IF(H386="","",IF(OR(AND(M386&lt;&gt;"",M386=IFERROR(INDEX($M$3:M385,MIN(IF(COUNTIF($M$3:M385,"0")=0,10^9,LOOKUP(2,1/($M$3:M385="0"),ROW($M$3:M385))),IF(COUNTIF($M$3:M385,"1")=0,10^9,LOOKUP(2,1/($M$3:M385="1"),ROW($M$3:M385))),IF(COUNTIF($M$3:M385,"2")=0,10^9,LOOKUP(2,1/($M$3:M385="2"),ROW($M$3:M385))),IF(COUNTIF($M$3:M385,"3")=0,10^9,LOOKUP(2,1/($M$3:M385="3"),ROW($M$3:M385))),IF(COUNTIF($M$3:M385,"4")=0,10^9,LOOKUP(2,1/($M$3:M385="4"),ROW($M$3:M385))),IF(COUNTIF($M$3:M385,"5")=0,10^9,LOOKUP(2,1/($M$3:M385="5"),ROW($M$3:M385))),IF(COUNTIF($M$3:M385,"6")=0,10^9,LOOKUP(2,1/($M$3:M385="6"),ROW($M$3:M385))),IF(COUNTIF($M$3:M385,"7")=0,10^9,LOOKUP(2,1/($M$3:M385="7"),ROW($M$3:M385))),IF(COUNTIF($M$3:M385,"8")=0,10^9,LOOKUP(2,1/($M$3:M385="8"),ROW($M$3:M385))),IF(COUNTIF($M$3:M385,"9")=0,10^9,LOOKUP(2,1/($M$3:M385="9"),ROW($M$3:M385))))-ROW($M$3)+1),"")),AND(N386&lt;&gt;"",N386=IFERROR(INDEX($N$3:N385,MIN(IF(COUNTIF($N$3:N385,"鼠")=0,10^9,LOOKUP(2,1/($N$3:N385="鼠"),ROW($N$3:N385))),IF(COUNTIF($N$3:N385,"牛")=0,10^9,LOOKUP(2,1/($N$3:N385="牛"),ROW($N$3:N385))),IF(COUNTIF($N$3:N385,"虎")=0,10^9,LOOKUP(2,1/($N$3:N385="虎"),ROW($N$3:N385))),IF(COUNTIF($N$3:N385,"兔")=0,10^9,LOOKUP(2,1/($N$3:N385="兔"),ROW($N$3:N385))),IF(COUNTIF($N$3:N385,"龙")=0,10^9,LOOKUP(2,1/($N$3:N385="龙"),ROW($N$3:N385))),IF(COUNTIF($N$3:N385,"蛇")=0,10^9,LOOKUP(2,1/($N$3:N385="蛇"),ROW($N$3:N385))),IF(COUNTIF($N$3:N385,"马")=0,10^9,LOOKUP(2,1/($N$3:N385="马"),ROW($N$3:N385))),IF(COUNTIF($N$3:N385,"羊")=0,10^9,LOOKUP(2,1/($N$3:N385="羊"),ROW($N$3:N385))),IF(COUNTIF($N$3:N385,"猴")=0,10^9,LOOKUP(2,1/($N$3:N385="猴"),ROW($N$3:N385))),IF(COUNTIF($N$3:N385,"鸡")=0,10^9,LOOKUP(2,1/($N$3:N385="鸡"),ROW($N$3:N385))),IF(COUNTIF($N$3:N385,"狗")=0,10^9,LOOKUP(2,1/($N$3:N385="狗"),ROW($N$3:N385))),IF(COUNTIF($N$3:N385,"猪")=0,10^9,LOOKUP(2,1/($N$3:N385="猪"),ROW($N$3:N385))))-ROW($N$3)+1),""))),0,IF(ISNUMBER(J385),J385+1,1)))</f>
        <v/>
      </c>
      <c r="K386" s="5" t="e">
        <f t="shared" si="36"/>
        <v>#N/A</v>
      </c>
      <c r="M386" s="6" t="str">
        <f t="shared" si="32"/>
        <v/>
      </c>
      <c r="N386" s="2" t="e">
        <f t="shared" si="33"/>
        <v>#N/A</v>
      </c>
      <c r="O386" s="7" t="str">
        <f>IF(M386="","",IF(COUNTIF(M387:$M$1000,M386)&gt;0,"",M386))</f>
        <v/>
      </c>
      <c r="P386" s="8" t="e">
        <f>IF(N386="","",IF(COUNTIF(N387:$N$1000,N386)&gt;0,"",N386))</f>
        <v>#N/A</v>
      </c>
      <c r="Q386" s="21" t="e">
        <f t="shared" si="34"/>
        <v>#NUM!</v>
      </c>
      <c r="R386" s="22" t="e">
        <f t="shared" si="35"/>
        <v>#NUM!</v>
      </c>
      <c r="S386" s="11"/>
      <c r="T386" s="11"/>
      <c r="U386" s="11"/>
      <c r="W386" s="11"/>
      <c r="X386" s="2"/>
      <c r="Y386" s="2"/>
    </row>
    <row r="387" s="1" customFormat="1" spans="1:25">
      <c r="A387" s="2">
        <v>115057022</v>
      </c>
      <c r="B387" s="2"/>
      <c r="C387" s="2"/>
      <c r="D387" s="2"/>
      <c r="E387" s="2"/>
      <c r="F387" s="2"/>
      <c r="G387" s="2"/>
      <c r="H387" s="3"/>
      <c r="I387" s="2" t="e">
        <f t="shared" ref="I387:I450" si="37">VLOOKUP(H387,X:Y,2,0)</f>
        <v>#N/A</v>
      </c>
      <c r="J387" s="4" t="str">
        <f>IF(H387="","",IF(OR(AND(M387&lt;&gt;"",M387=IFERROR(INDEX($M$3:M386,MIN(IF(COUNTIF($M$3:M386,"0")=0,10^9,LOOKUP(2,1/($M$3:M386="0"),ROW($M$3:M386))),IF(COUNTIF($M$3:M386,"1")=0,10^9,LOOKUP(2,1/($M$3:M386="1"),ROW($M$3:M386))),IF(COUNTIF($M$3:M386,"2")=0,10^9,LOOKUP(2,1/($M$3:M386="2"),ROW($M$3:M386))),IF(COUNTIF($M$3:M386,"3")=0,10^9,LOOKUP(2,1/($M$3:M386="3"),ROW($M$3:M386))),IF(COUNTIF($M$3:M386,"4")=0,10^9,LOOKUP(2,1/($M$3:M386="4"),ROW($M$3:M386))),IF(COUNTIF($M$3:M386,"5")=0,10^9,LOOKUP(2,1/($M$3:M386="5"),ROW($M$3:M386))),IF(COUNTIF($M$3:M386,"6")=0,10^9,LOOKUP(2,1/($M$3:M386="6"),ROW($M$3:M386))),IF(COUNTIF($M$3:M386,"7")=0,10^9,LOOKUP(2,1/($M$3:M386="7"),ROW($M$3:M386))),IF(COUNTIF($M$3:M386,"8")=0,10^9,LOOKUP(2,1/($M$3:M386="8"),ROW($M$3:M386))),IF(COUNTIF($M$3:M386,"9")=0,10^9,LOOKUP(2,1/($M$3:M386="9"),ROW($M$3:M386))))-ROW($M$3)+1),"")),AND(N387&lt;&gt;"",N387=IFERROR(INDEX($N$3:N386,MIN(IF(COUNTIF($N$3:N386,"鼠")=0,10^9,LOOKUP(2,1/($N$3:N386="鼠"),ROW($N$3:N386))),IF(COUNTIF($N$3:N386,"牛")=0,10^9,LOOKUP(2,1/($N$3:N386="牛"),ROW($N$3:N386))),IF(COUNTIF($N$3:N386,"虎")=0,10^9,LOOKUP(2,1/($N$3:N386="虎"),ROW($N$3:N386))),IF(COUNTIF($N$3:N386,"兔")=0,10^9,LOOKUP(2,1/($N$3:N386="兔"),ROW($N$3:N386))),IF(COUNTIF($N$3:N386,"龙")=0,10^9,LOOKUP(2,1/($N$3:N386="龙"),ROW($N$3:N386))),IF(COUNTIF($N$3:N386,"蛇")=0,10^9,LOOKUP(2,1/($N$3:N386="蛇"),ROW($N$3:N386))),IF(COUNTIF($N$3:N386,"马")=0,10^9,LOOKUP(2,1/($N$3:N386="马"),ROW($N$3:N386))),IF(COUNTIF($N$3:N386,"羊")=0,10^9,LOOKUP(2,1/($N$3:N386="羊"),ROW($N$3:N386))),IF(COUNTIF($N$3:N386,"猴")=0,10^9,LOOKUP(2,1/($N$3:N386="猴"),ROW($N$3:N386))),IF(COUNTIF($N$3:N386,"鸡")=0,10^9,LOOKUP(2,1/($N$3:N386="鸡"),ROW($N$3:N386))),IF(COUNTIF($N$3:N386,"狗")=0,10^9,LOOKUP(2,1/($N$3:N386="狗"),ROW($N$3:N386))),IF(COUNTIF($N$3:N386,"猪")=0,10^9,LOOKUP(2,1/($N$3:N386="猪"),ROW($N$3:N386))))-ROW($N$3)+1),""))),0,IF(ISNUMBER(J386),J386+1,1)))</f>
        <v/>
      </c>
      <c r="K387" s="5" t="e">
        <f t="shared" si="36"/>
        <v>#N/A</v>
      </c>
      <c r="M387" s="6" t="str">
        <f t="shared" ref="M387:M450" si="38">RIGHT(H387,1)</f>
        <v/>
      </c>
      <c r="N387" s="2" t="e">
        <f t="shared" ref="N387:N450" si="39">I387</f>
        <v>#N/A</v>
      </c>
      <c r="O387" s="7" t="str">
        <f>IF(M387="","",IF(COUNTIF(M388:$M$1000,M387)&gt;0,"",M387))</f>
        <v/>
      </c>
      <c r="P387" s="8" t="e">
        <f>IF(N387="","",IF(COUNTIF(N388:$N$1000,N387)&gt;0,"",N387))</f>
        <v>#N/A</v>
      </c>
      <c r="Q387" s="21" t="e">
        <f t="shared" ref="Q387:Q450" si="40">MOD(INT(SMALL(B387:G387,5)/10)+MOD(SMALL(B387:G387,5),10),10)+INT(SMALL(B387:G387,4)/10)+INT(SMALL(B387:G387,6)/10)+MOD(SMALL(B387:G387,6),10)+SMALL(B387:G387,4)+SMALL(B387:G387,6)+9</f>
        <v>#NUM!</v>
      </c>
      <c r="R387" s="22" t="e">
        <f t="shared" ref="R387:R450" si="41">VLOOKUP(Q387,X:Y,2,0)</f>
        <v>#NUM!</v>
      </c>
      <c r="S387" s="11"/>
      <c r="T387" s="11"/>
      <c r="U387" s="11"/>
      <c r="W387" s="11"/>
      <c r="X387" s="2"/>
      <c r="Y387" s="2"/>
    </row>
    <row r="388" s="1" customFormat="1" spans="1:25">
      <c r="A388" s="2">
        <v>115057023</v>
      </c>
      <c r="B388" s="2"/>
      <c r="C388" s="2"/>
      <c r="D388" s="2"/>
      <c r="E388" s="2"/>
      <c r="F388" s="2"/>
      <c r="G388" s="2"/>
      <c r="H388" s="3"/>
      <c r="I388" s="2" t="e">
        <f t="shared" si="37"/>
        <v>#N/A</v>
      </c>
      <c r="J388" s="4" t="str">
        <f>IF(H388="","",IF(OR(AND(M388&lt;&gt;"",M388=IFERROR(INDEX($M$3:M387,MIN(IF(COUNTIF($M$3:M387,"0")=0,10^9,LOOKUP(2,1/($M$3:M387="0"),ROW($M$3:M387))),IF(COUNTIF($M$3:M387,"1")=0,10^9,LOOKUP(2,1/($M$3:M387="1"),ROW($M$3:M387))),IF(COUNTIF($M$3:M387,"2")=0,10^9,LOOKUP(2,1/($M$3:M387="2"),ROW($M$3:M387))),IF(COUNTIF($M$3:M387,"3")=0,10^9,LOOKUP(2,1/($M$3:M387="3"),ROW($M$3:M387))),IF(COUNTIF($M$3:M387,"4")=0,10^9,LOOKUP(2,1/($M$3:M387="4"),ROW($M$3:M387))),IF(COUNTIF($M$3:M387,"5")=0,10^9,LOOKUP(2,1/($M$3:M387="5"),ROW($M$3:M387))),IF(COUNTIF($M$3:M387,"6")=0,10^9,LOOKUP(2,1/($M$3:M387="6"),ROW($M$3:M387))),IF(COUNTIF($M$3:M387,"7")=0,10^9,LOOKUP(2,1/($M$3:M387="7"),ROW($M$3:M387))),IF(COUNTIF($M$3:M387,"8")=0,10^9,LOOKUP(2,1/($M$3:M387="8"),ROW($M$3:M387))),IF(COUNTIF($M$3:M387,"9")=0,10^9,LOOKUP(2,1/($M$3:M387="9"),ROW($M$3:M387))))-ROW($M$3)+1),"")),AND(N388&lt;&gt;"",N388=IFERROR(INDEX($N$3:N387,MIN(IF(COUNTIF($N$3:N387,"鼠")=0,10^9,LOOKUP(2,1/($N$3:N387="鼠"),ROW($N$3:N387))),IF(COUNTIF($N$3:N387,"牛")=0,10^9,LOOKUP(2,1/($N$3:N387="牛"),ROW($N$3:N387))),IF(COUNTIF($N$3:N387,"虎")=0,10^9,LOOKUP(2,1/($N$3:N387="虎"),ROW($N$3:N387))),IF(COUNTIF($N$3:N387,"兔")=0,10^9,LOOKUP(2,1/($N$3:N387="兔"),ROW($N$3:N387))),IF(COUNTIF($N$3:N387,"龙")=0,10^9,LOOKUP(2,1/($N$3:N387="龙"),ROW($N$3:N387))),IF(COUNTIF($N$3:N387,"蛇")=0,10^9,LOOKUP(2,1/($N$3:N387="蛇"),ROW($N$3:N387))),IF(COUNTIF($N$3:N387,"马")=0,10^9,LOOKUP(2,1/($N$3:N387="马"),ROW($N$3:N387))),IF(COUNTIF($N$3:N387,"羊")=0,10^9,LOOKUP(2,1/($N$3:N387="羊"),ROW($N$3:N387))),IF(COUNTIF($N$3:N387,"猴")=0,10^9,LOOKUP(2,1/($N$3:N387="猴"),ROW($N$3:N387))),IF(COUNTIF($N$3:N387,"鸡")=0,10^9,LOOKUP(2,1/($N$3:N387="鸡"),ROW($N$3:N387))),IF(COUNTIF($N$3:N387,"狗")=0,10^9,LOOKUP(2,1/($N$3:N387="狗"),ROW($N$3:N387))),IF(COUNTIF($N$3:N387,"猪")=0,10^9,LOOKUP(2,1/($N$3:N387="猪"),ROW($N$3:N387))))-ROW($N$3)+1),""))),0,IF(ISNUMBER(J387),J387+1,1)))</f>
        <v/>
      </c>
      <c r="K388" s="5" t="e">
        <f t="shared" ref="K388:K451" si="42">IF(I388=R387,0,K387+1)</f>
        <v>#N/A</v>
      </c>
      <c r="M388" s="6" t="str">
        <f t="shared" si="38"/>
        <v/>
      </c>
      <c r="N388" s="2" t="e">
        <f t="shared" si="39"/>
        <v>#N/A</v>
      </c>
      <c r="O388" s="7" t="str">
        <f>IF(M388="","",IF(COUNTIF(M389:$M$1000,M388)&gt;0,"",M388))</f>
        <v/>
      </c>
      <c r="P388" s="8" t="e">
        <f>IF(N388="","",IF(COUNTIF(N389:$N$1000,N388)&gt;0,"",N388))</f>
        <v>#N/A</v>
      </c>
      <c r="Q388" s="21" t="e">
        <f t="shared" si="40"/>
        <v>#NUM!</v>
      </c>
      <c r="R388" s="22" t="e">
        <f t="shared" si="41"/>
        <v>#NUM!</v>
      </c>
      <c r="S388" s="11"/>
      <c r="T388" s="11"/>
      <c r="U388" s="11"/>
      <c r="W388" s="11"/>
      <c r="X388" s="2"/>
      <c r="Y388" s="2"/>
    </row>
    <row r="389" s="1" customFormat="1" spans="1:25">
      <c r="A389" s="2">
        <v>115057024</v>
      </c>
      <c r="B389" s="2"/>
      <c r="C389" s="2"/>
      <c r="D389" s="2"/>
      <c r="E389" s="2"/>
      <c r="F389" s="2"/>
      <c r="G389" s="2"/>
      <c r="H389" s="3"/>
      <c r="I389" s="2" t="e">
        <f t="shared" si="37"/>
        <v>#N/A</v>
      </c>
      <c r="J389" s="4" t="str">
        <f>IF(H389="","",IF(OR(AND(M389&lt;&gt;"",M389=IFERROR(INDEX($M$3:M388,MIN(IF(COUNTIF($M$3:M388,"0")=0,10^9,LOOKUP(2,1/($M$3:M388="0"),ROW($M$3:M388))),IF(COUNTIF($M$3:M388,"1")=0,10^9,LOOKUP(2,1/($M$3:M388="1"),ROW($M$3:M388))),IF(COUNTIF($M$3:M388,"2")=0,10^9,LOOKUP(2,1/($M$3:M388="2"),ROW($M$3:M388))),IF(COUNTIF($M$3:M388,"3")=0,10^9,LOOKUP(2,1/($M$3:M388="3"),ROW($M$3:M388))),IF(COUNTIF($M$3:M388,"4")=0,10^9,LOOKUP(2,1/($M$3:M388="4"),ROW($M$3:M388))),IF(COUNTIF($M$3:M388,"5")=0,10^9,LOOKUP(2,1/($M$3:M388="5"),ROW($M$3:M388))),IF(COUNTIF($M$3:M388,"6")=0,10^9,LOOKUP(2,1/($M$3:M388="6"),ROW($M$3:M388))),IF(COUNTIF($M$3:M388,"7")=0,10^9,LOOKUP(2,1/($M$3:M388="7"),ROW($M$3:M388))),IF(COUNTIF($M$3:M388,"8")=0,10^9,LOOKUP(2,1/($M$3:M388="8"),ROW($M$3:M388))),IF(COUNTIF($M$3:M388,"9")=0,10^9,LOOKUP(2,1/($M$3:M388="9"),ROW($M$3:M388))))-ROW($M$3)+1),"")),AND(N389&lt;&gt;"",N389=IFERROR(INDEX($N$3:N388,MIN(IF(COUNTIF($N$3:N388,"鼠")=0,10^9,LOOKUP(2,1/($N$3:N388="鼠"),ROW($N$3:N388))),IF(COUNTIF($N$3:N388,"牛")=0,10^9,LOOKUP(2,1/($N$3:N388="牛"),ROW($N$3:N388))),IF(COUNTIF($N$3:N388,"虎")=0,10^9,LOOKUP(2,1/($N$3:N388="虎"),ROW($N$3:N388))),IF(COUNTIF($N$3:N388,"兔")=0,10^9,LOOKUP(2,1/($N$3:N388="兔"),ROW($N$3:N388))),IF(COUNTIF($N$3:N388,"龙")=0,10^9,LOOKUP(2,1/($N$3:N388="龙"),ROW($N$3:N388))),IF(COUNTIF($N$3:N388,"蛇")=0,10^9,LOOKUP(2,1/($N$3:N388="蛇"),ROW($N$3:N388))),IF(COUNTIF($N$3:N388,"马")=0,10^9,LOOKUP(2,1/($N$3:N388="马"),ROW($N$3:N388))),IF(COUNTIF($N$3:N388,"羊")=0,10^9,LOOKUP(2,1/($N$3:N388="羊"),ROW($N$3:N388))),IF(COUNTIF($N$3:N388,"猴")=0,10^9,LOOKUP(2,1/($N$3:N388="猴"),ROW($N$3:N388))),IF(COUNTIF($N$3:N388,"鸡")=0,10^9,LOOKUP(2,1/($N$3:N388="鸡"),ROW($N$3:N388))),IF(COUNTIF($N$3:N388,"狗")=0,10^9,LOOKUP(2,1/($N$3:N388="狗"),ROW($N$3:N388))),IF(COUNTIF($N$3:N388,"猪")=0,10^9,LOOKUP(2,1/($N$3:N388="猪"),ROW($N$3:N388))))-ROW($N$3)+1),""))),0,IF(ISNUMBER(J388),J388+1,1)))</f>
        <v/>
      </c>
      <c r="K389" s="5" t="e">
        <f t="shared" si="42"/>
        <v>#N/A</v>
      </c>
      <c r="M389" s="6" t="str">
        <f t="shared" si="38"/>
        <v/>
      </c>
      <c r="N389" s="2" t="e">
        <f t="shared" si="39"/>
        <v>#N/A</v>
      </c>
      <c r="O389" s="7" t="str">
        <f>IF(M389="","",IF(COUNTIF(M390:$M$1000,M389)&gt;0,"",M389))</f>
        <v/>
      </c>
      <c r="P389" s="8" t="e">
        <f>IF(N389="","",IF(COUNTIF(N390:$N$1000,N389)&gt;0,"",N389))</f>
        <v>#N/A</v>
      </c>
      <c r="Q389" s="21" t="e">
        <f t="shared" si="40"/>
        <v>#NUM!</v>
      </c>
      <c r="R389" s="22" t="e">
        <f t="shared" si="41"/>
        <v>#NUM!</v>
      </c>
      <c r="S389" s="11"/>
      <c r="T389" s="11"/>
      <c r="U389" s="11"/>
      <c r="W389" s="11"/>
      <c r="X389" s="2"/>
      <c r="Y389" s="2"/>
    </row>
    <row r="390" s="1" customFormat="1" spans="1:25">
      <c r="A390" s="2">
        <v>115057025</v>
      </c>
      <c r="B390" s="2"/>
      <c r="C390" s="2"/>
      <c r="D390" s="2"/>
      <c r="E390" s="2"/>
      <c r="F390" s="2"/>
      <c r="G390" s="2"/>
      <c r="H390" s="3"/>
      <c r="I390" s="2" t="e">
        <f t="shared" si="37"/>
        <v>#N/A</v>
      </c>
      <c r="J390" s="4" t="str">
        <f>IF(H390="","",IF(OR(AND(M390&lt;&gt;"",M390=IFERROR(INDEX($M$3:M389,MIN(IF(COUNTIF($M$3:M389,"0")=0,10^9,LOOKUP(2,1/($M$3:M389="0"),ROW($M$3:M389))),IF(COUNTIF($M$3:M389,"1")=0,10^9,LOOKUP(2,1/($M$3:M389="1"),ROW($M$3:M389))),IF(COUNTIF($M$3:M389,"2")=0,10^9,LOOKUP(2,1/($M$3:M389="2"),ROW($M$3:M389))),IF(COUNTIF($M$3:M389,"3")=0,10^9,LOOKUP(2,1/($M$3:M389="3"),ROW($M$3:M389))),IF(COUNTIF($M$3:M389,"4")=0,10^9,LOOKUP(2,1/($M$3:M389="4"),ROW($M$3:M389))),IF(COUNTIF($M$3:M389,"5")=0,10^9,LOOKUP(2,1/($M$3:M389="5"),ROW($M$3:M389))),IF(COUNTIF($M$3:M389,"6")=0,10^9,LOOKUP(2,1/($M$3:M389="6"),ROW($M$3:M389))),IF(COUNTIF($M$3:M389,"7")=0,10^9,LOOKUP(2,1/($M$3:M389="7"),ROW($M$3:M389))),IF(COUNTIF($M$3:M389,"8")=0,10^9,LOOKUP(2,1/($M$3:M389="8"),ROW($M$3:M389))),IF(COUNTIF($M$3:M389,"9")=0,10^9,LOOKUP(2,1/($M$3:M389="9"),ROW($M$3:M389))))-ROW($M$3)+1),"")),AND(N390&lt;&gt;"",N390=IFERROR(INDEX($N$3:N389,MIN(IF(COUNTIF($N$3:N389,"鼠")=0,10^9,LOOKUP(2,1/($N$3:N389="鼠"),ROW($N$3:N389))),IF(COUNTIF($N$3:N389,"牛")=0,10^9,LOOKUP(2,1/($N$3:N389="牛"),ROW($N$3:N389))),IF(COUNTIF($N$3:N389,"虎")=0,10^9,LOOKUP(2,1/($N$3:N389="虎"),ROW($N$3:N389))),IF(COUNTIF($N$3:N389,"兔")=0,10^9,LOOKUP(2,1/($N$3:N389="兔"),ROW($N$3:N389))),IF(COUNTIF($N$3:N389,"龙")=0,10^9,LOOKUP(2,1/($N$3:N389="龙"),ROW($N$3:N389))),IF(COUNTIF($N$3:N389,"蛇")=0,10^9,LOOKUP(2,1/($N$3:N389="蛇"),ROW($N$3:N389))),IF(COUNTIF($N$3:N389,"马")=0,10^9,LOOKUP(2,1/($N$3:N389="马"),ROW($N$3:N389))),IF(COUNTIF($N$3:N389,"羊")=0,10^9,LOOKUP(2,1/($N$3:N389="羊"),ROW($N$3:N389))),IF(COUNTIF($N$3:N389,"猴")=0,10^9,LOOKUP(2,1/($N$3:N389="猴"),ROW($N$3:N389))),IF(COUNTIF($N$3:N389,"鸡")=0,10^9,LOOKUP(2,1/($N$3:N389="鸡"),ROW($N$3:N389))),IF(COUNTIF($N$3:N389,"狗")=0,10^9,LOOKUP(2,1/($N$3:N389="狗"),ROW($N$3:N389))),IF(COUNTIF($N$3:N389,"猪")=0,10^9,LOOKUP(2,1/($N$3:N389="猪"),ROW($N$3:N389))))-ROW($N$3)+1),""))),0,IF(ISNUMBER(J389),J389+1,1)))</f>
        <v/>
      </c>
      <c r="K390" s="5" t="e">
        <f t="shared" si="42"/>
        <v>#N/A</v>
      </c>
      <c r="M390" s="6" t="str">
        <f t="shared" si="38"/>
        <v/>
      </c>
      <c r="N390" s="2" t="e">
        <f t="shared" si="39"/>
        <v>#N/A</v>
      </c>
      <c r="O390" s="7" t="str">
        <f>IF(M390="","",IF(COUNTIF(M391:$M$1000,M390)&gt;0,"",M390))</f>
        <v/>
      </c>
      <c r="P390" s="8" t="e">
        <f>IF(N390="","",IF(COUNTIF(N391:$N$1000,N390)&gt;0,"",N390))</f>
        <v>#N/A</v>
      </c>
      <c r="Q390" s="21" t="e">
        <f t="shared" si="40"/>
        <v>#NUM!</v>
      </c>
      <c r="R390" s="22" t="e">
        <f t="shared" si="41"/>
        <v>#NUM!</v>
      </c>
      <c r="S390" s="11"/>
      <c r="T390" s="11"/>
      <c r="U390" s="11"/>
      <c r="W390" s="11"/>
      <c r="X390" s="2"/>
      <c r="Y390" s="2"/>
    </row>
    <row r="391" s="1" customFormat="1" spans="1:25">
      <c r="A391" s="2">
        <v>115057026</v>
      </c>
      <c r="B391" s="2"/>
      <c r="C391" s="2"/>
      <c r="D391" s="2"/>
      <c r="E391" s="2"/>
      <c r="F391" s="2"/>
      <c r="G391" s="2"/>
      <c r="H391" s="3"/>
      <c r="I391" s="2" t="e">
        <f t="shared" si="37"/>
        <v>#N/A</v>
      </c>
      <c r="J391" s="4" t="str">
        <f>IF(H391="","",IF(OR(AND(M391&lt;&gt;"",M391=IFERROR(INDEX($M$3:M390,MIN(IF(COUNTIF($M$3:M390,"0")=0,10^9,LOOKUP(2,1/($M$3:M390="0"),ROW($M$3:M390))),IF(COUNTIF($M$3:M390,"1")=0,10^9,LOOKUP(2,1/($M$3:M390="1"),ROW($M$3:M390))),IF(COUNTIF($M$3:M390,"2")=0,10^9,LOOKUP(2,1/($M$3:M390="2"),ROW($M$3:M390))),IF(COUNTIF($M$3:M390,"3")=0,10^9,LOOKUP(2,1/($M$3:M390="3"),ROW($M$3:M390))),IF(COUNTIF($M$3:M390,"4")=0,10^9,LOOKUP(2,1/($M$3:M390="4"),ROW($M$3:M390))),IF(COUNTIF($M$3:M390,"5")=0,10^9,LOOKUP(2,1/($M$3:M390="5"),ROW($M$3:M390))),IF(COUNTIF($M$3:M390,"6")=0,10^9,LOOKUP(2,1/($M$3:M390="6"),ROW($M$3:M390))),IF(COUNTIF($M$3:M390,"7")=0,10^9,LOOKUP(2,1/($M$3:M390="7"),ROW($M$3:M390))),IF(COUNTIF($M$3:M390,"8")=0,10^9,LOOKUP(2,1/($M$3:M390="8"),ROW($M$3:M390))),IF(COUNTIF($M$3:M390,"9")=0,10^9,LOOKUP(2,1/($M$3:M390="9"),ROW($M$3:M390))))-ROW($M$3)+1),"")),AND(N391&lt;&gt;"",N391=IFERROR(INDEX($N$3:N390,MIN(IF(COUNTIF($N$3:N390,"鼠")=0,10^9,LOOKUP(2,1/($N$3:N390="鼠"),ROW($N$3:N390))),IF(COUNTIF($N$3:N390,"牛")=0,10^9,LOOKUP(2,1/($N$3:N390="牛"),ROW($N$3:N390))),IF(COUNTIF($N$3:N390,"虎")=0,10^9,LOOKUP(2,1/($N$3:N390="虎"),ROW($N$3:N390))),IF(COUNTIF($N$3:N390,"兔")=0,10^9,LOOKUP(2,1/($N$3:N390="兔"),ROW($N$3:N390))),IF(COUNTIF($N$3:N390,"龙")=0,10^9,LOOKUP(2,1/($N$3:N390="龙"),ROW($N$3:N390))),IF(COUNTIF($N$3:N390,"蛇")=0,10^9,LOOKUP(2,1/($N$3:N390="蛇"),ROW($N$3:N390))),IF(COUNTIF($N$3:N390,"马")=0,10^9,LOOKUP(2,1/($N$3:N390="马"),ROW($N$3:N390))),IF(COUNTIF($N$3:N390,"羊")=0,10^9,LOOKUP(2,1/($N$3:N390="羊"),ROW($N$3:N390))),IF(COUNTIF($N$3:N390,"猴")=0,10^9,LOOKUP(2,1/($N$3:N390="猴"),ROW($N$3:N390))),IF(COUNTIF($N$3:N390,"鸡")=0,10^9,LOOKUP(2,1/($N$3:N390="鸡"),ROW($N$3:N390))),IF(COUNTIF($N$3:N390,"狗")=0,10^9,LOOKUP(2,1/($N$3:N390="狗"),ROW($N$3:N390))),IF(COUNTIF($N$3:N390,"猪")=0,10^9,LOOKUP(2,1/($N$3:N390="猪"),ROW($N$3:N390))))-ROW($N$3)+1),""))),0,IF(ISNUMBER(J390),J390+1,1)))</f>
        <v/>
      </c>
      <c r="K391" s="5" t="e">
        <f t="shared" si="42"/>
        <v>#N/A</v>
      </c>
      <c r="M391" s="6" t="str">
        <f t="shared" si="38"/>
        <v/>
      </c>
      <c r="N391" s="2" t="e">
        <f t="shared" si="39"/>
        <v>#N/A</v>
      </c>
      <c r="O391" s="7" t="str">
        <f>IF(M391="","",IF(COUNTIF(M392:$M$1000,M391)&gt;0,"",M391))</f>
        <v/>
      </c>
      <c r="P391" s="8" t="e">
        <f>IF(N391="","",IF(COUNTIF(N392:$N$1000,N391)&gt;0,"",N391))</f>
        <v>#N/A</v>
      </c>
      <c r="Q391" s="21" t="e">
        <f t="shared" si="40"/>
        <v>#NUM!</v>
      </c>
      <c r="R391" s="22" t="e">
        <f t="shared" si="41"/>
        <v>#NUM!</v>
      </c>
      <c r="S391" s="11"/>
      <c r="T391" s="11"/>
      <c r="U391" s="11"/>
      <c r="W391" s="11"/>
      <c r="X391" s="2"/>
      <c r="Y391" s="2"/>
    </row>
    <row r="392" s="1" customFormat="1" spans="1:25">
      <c r="A392" s="2">
        <v>115057027</v>
      </c>
      <c r="B392" s="2"/>
      <c r="C392" s="2"/>
      <c r="D392" s="2"/>
      <c r="E392" s="2"/>
      <c r="F392" s="2"/>
      <c r="G392" s="2"/>
      <c r="H392" s="3"/>
      <c r="I392" s="2" t="e">
        <f t="shared" si="37"/>
        <v>#N/A</v>
      </c>
      <c r="J392" s="4" t="str">
        <f>IF(H392="","",IF(OR(AND(M392&lt;&gt;"",M392=IFERROR(INDEX($M$3:M391,MIN(IF(COUNTIF($M$3:M391,"0")=0,10^9,LOOKUP(2,1/($M$3:M391="0"),ROW($M$3:M391))),IF(COUNTIF($M$3:M391,"1")=0,10^9,LOOKUP(2,1/($M$3:M391="1"),ROW($M$3:M391))),IF(COUNTIF($M$3:M391,"2")=0,10^9,LOOKUP(2,1/($M$3:M391="2"),ROW($M$3:M391))),IF(COUNTIF($M$3:M391,"3")=0,10^9,LOOKUP(2,1/($M$3:M391="3"),ROW($M$3:M391))),IF(COUNTIF($M$3:M391,"4")=0,10^9,LOOKUP(2,1/($M$3:M391="4"),ROW($M$3:M391))),IF(COUNTIF($M$3:M391,"5")=0,10^9,LOOKUP(2,1/($M$3:M391="5"),ROW($M$3:M391))),IF(COUNTIF($M$3:M391,"6")=0,10^9,LOOKUP(2,1/($M$3:M391="6"),ROW($M$3:M391))),IF(COUNTIF($M$3:M391,"7")=0,10^9,LOOKUP(2,1/($M$3:M391="7"),ROW($M$3:M391))),IF(COUNTIF($M$3:M391,"8")=0,10^9,LOOKUP(2,1/($M$3:M391="8"),ROW($M$3:M391))),IF(COUNTIF($M$3:M391,"9")=0,10^9,LOOKUP(2,1/($M$3:M391="9"),ROW($M$3:M391))))-ROW($M$3)+1),"")),AND(N392&lt;&gt;"",N392=IFERROR(INDEX($N$3:N391,MIN(IF(COUNTIF($N$3:N391,"鼠")=0,10^9,LOOKUP(2,1/($N$3:N391="鼠"),ROW($N$3:N391))),IF(COUNTIF($N$3:N391,"牛")=0,10^9,LOOKUP(2,1/($N$3:N391="牛"),ROW($N$3:N391))),IF(COUNTIF($N$3:N391,"虎")=0,10^9,LOOKUP(2,1/($N$3:N391="虎"),ROW($N$3:N391))),IF(COUNTIF($N$3:N391,"兔")=0,10^9,LOOKUP(2,1/($N$3:N391="兔"),ROW($N$3:N391))),IF(COUNTIF($N$3:N391,"龙")=0,10^9,LOOKUP(2,1/($N$3:N391="龙"),ROW($N$3:N391))),IF(COUNTIF($N$3:N391,"蛇")=0,10^9,LOOKUP(2,1/($N$3:N391="蛇"),ROW($N$3:N391))),IF(COUNTIF($N$3:N391,"马")=0,10^9,LOOKUP(2,1/($N$3:N391="马"),ROW($N$3:N391))),IF(COUNTIF($N$3:N391,"羊")=0,10^9,LOOKUP(2,1/($N$3:N391="羊"),ROW($N$3:N391))),IF(COUNTIF($N$3:N391,"猴")=0,10^9,LOOKUP(2,1/($N$3:N391="猴"),ROW($N$3:N391))),IF(COUNTIF($N$3:N391,"鸡")=0,10^9,LOOKUP(2,1/($N$3:N391="鸡"),ROW($N$3:N391))),IF(COUNTIF($N$3:N391,"狗")=0,10^9,LOOKUP(2,1/($N$3:N391="狗"),ROW($N$3:N391))),IF(COUNTIF($N$3:N391,"猪")=0,10^9,LOOKUP(2,1/($N$3:N391="猪"),ROW($N$3:N391))))-ROW($N$3)+1),""))),0,IF(ISNUMBER(J391),J391+1,1)))</f>
        <v/>
      </c>
      <c r="K392" s="5" t="e">
        <f t="shared" si="42"/>
        <v>#N/A</v>
      </c>
      <c r="M392" s="6" t="str">
        <f t="shared" si="38"/>
        <v/>
      </c>
      <c r="N392" s="2" t="e">
        <f t="shared" si="39"/>
        <v>#N/A</v>
      </c>
      <c r="O392" s="7" t="str">
        <f>IF(M392="","",IF(COUNTIF(M393:$M$1000,M392)&gt;0,"",M392))</f>
        <v/>
      </c>
      <c r="P392" s="8" t="e">
        <f>IF(N392="","",IF(COUNTIF(N393:$N$1000,N392)&gt;0,"",N392))</f>
        <v>#N/A</v>
      </c>
      <c r="Q392" s="21" t="e">
        <f t="shared" si="40"/>
        <v>#NUM!</v>
      </c>
      <c r="R392" s="22" t="e">
        <f t="shared" si="41"/>
        <v>#NUM!</v>
      </c>
      <c r="S392" s="11"/>
      <c r="T392" s="11"/>
      <c r="U392" s="11"/>
      <c r="W392" s="11"/>
      <c r="X392" s="2"/>
      <c r="Y392" s="2"/>
    </row>
    <row r="393" s="1" customFormat="1" spans="1:25">
      <c r="A393" s="2">
        <v>115057028</v>
      </c>
      <c r="B393" s="2"/>
      <c r="C393" s="2"/>
      <c r="D393" s="2"/>
      <c r="E393" s="2"/>
      <c r="F393" s="2"/>
      <c r="G393" s="2"/>
      <c r="H393" s="3"/>
      <c r="I393" s="2" t="e">
        <f t="shared" si="37"/>
        <v>#N/A</v>
      </c>
      <c r="J393" s="4" t="str">
        <f>IF(H393="","",IF(OR(AND(M393&lt;&gt;"",M393=IFERROR(INDEX($M$3:M392,MIN(IF(COUNTIF($M$3:M392,"0")=0,10^9,LOOKUP(2,1/($M$3:M392="0"),ROW($M$3:M392))),IF(COUNTIF($M$3:M392,"1")=0,10^9,LOOKUP(2,1/($M$3:M392="1"),ROW($M$3:M392))),IF(COUNTIF($M$3:M392,"2")=0,10^9,LOOKUP(2,1/($M$3:M392="2"),ROW($M$3:M392))),IF(COUNTIF($M$3:M392,"3")=0,10^9,LOOKUP(2,1/($M$3:M392="3"),ROW($M$3:M392))),IF(COUNTIF($M$3:M392,"4")=0,10^9,LOOKUP(2,1/($M$3:M392="4"),ROW($M$3:M392))),IF(COUNTIF($M$3:M392,"5")=0,10^9,LOOKUP(2,1/($M$3:M392="5"),ROW($M$3:M392))),IF(COUNTIF($M$3:M392,"6")=0,10^9,LOOKUP(2,1/($M$3:M392="6"),ROW($M$3:M392))),IF(COUNTIF($M$3:M392,"7")=0,10^9,LOOKUP(2,1/($M$3:M392="7"),ROW($M$3:M392))),IF(COUNTIF($M$3:M392,"8")=0,10^9,LOOKUP(2,1/($M$3:M392="8"),ROW($M$3:M392))),IF(COUNTIF($M$3:M392,"9")=0,10^9,LOOKUP(2,1/($M$3:M392="9"),ROW($M$3:M392))))-ROW($M$3)+1),"")),AND(N393&lt;&gt;"",N393=IFERROR(INDEX($N$3:N392,MIN(IF(COUNTIF($N$3:N392,"鼠")=0,10^9,LOOKUP(2,1/($N$3:N392="鼠"),ROW($N$3:N392))),IF(COUNTIF($N$3:N392,"牛")=0,10^9,LOOKUP(2,1/($N$3:N392="牛"),ROW($N$3:N392))),IF(COUNTIF($N$3:N392,"虎")=0,10^9,LOOKUP(2,1/($N$3:N392="虎"),ROW($N$3:N392))),IF(COUNTIF($N$3:N392,"兔")=0,10^9,LOOKUP(2,1/($N$3:N392="兔"),ROW($N$3:N392))),IF(COUNTIF($N$3:N392,"龙")=0,10^9,LOOKUP(2,1/($N$3:N392="龙"),ROW($N$3:N392))),IF(COUNTIF($N$3:N392,"蛇")=0,10^9,LOOKUP(2,1/($N$3:N392="蛇"),ROW($N$3:N392))),IF(COUNTIF($N$3:N392,"马")=0,10^9,LOOKUP(2,1/($N$3:N392="马"),ROW($N$3:N392))),IF(COUNTIF($N$3:N392,"羊")=0,10^9,LOOKUP(2,1/($N$3:N392="羊"),ROW($N$3:N392))),IF(COUNTIF($N$3:N392,"猴")=0,10^9,LOOKUP(2,1/($N$3:N392="猴"),ROW($N$3:N392))),IF(COUNTIF($N$3:N392,"鸡")=0,10^9,LOOKUP(2,1/($N$3:N392="鸡"),ROW($N$3:N392))),IF(COUNTIF($N$3:N392,"狗")=0,10^9,LOOKUP(2,1/($N$3:N392="狗"),ROW($N$3:N392))),IF(COUNTIF($N$3:N392,"猪")=0,10^9,LOOKUP(2,1/($N$3:N392="猪"),ROW($N$3:N392))))-ROW($N$3)+1),""))),0,IF(ISNUMBER(J392),J392+1,1)))</f>
        <v/>
      </c>
      <c r="K393" s="5" t="e">
        <f t="shared" si="42"/>
        <v>#N/A</v>
      </c>
      <c r="M393" s="6" t="str">
        <f t="shared" si="38"/>
        <v/>
      </c>
      <c r="N393" s="2" t="e">
        <f t="shared" si="39"/>
        <v>#N/A</v>
      </c>
      <c r="O393" s="7" t="str">
        <f>IF(M393="","",IF(COUNTIF(M394:$M$1000,M393)&gt;0,"",M393))</f>
        <v/>
      </c>
      <c r="P393" s="8" t="e">
        <f>IF(N393="","",IF(COUNTIF(N394:$N$1000,N393)&gt;0,"",N393))</f>
        <v>#N/A</v>
      </c>
      <c r="Q393" s="21" t="e">
        <f t="shared" si="40"/>
        <v>#NUM!</v>
      </c>
      <c r="R393" s="22" t="e">
        <f t="shared" si="41"/>
        <v>#NUM!</v>
      </c>
      <c r="S393" s="11"/>
      <c r="T393" s="11"/>
      <c r="U393" s="11"/>
      <c r="W393" s="11"/>
      <c r="X393" s="2"/>
      <c r="Y393" s="2"/>
    </row>
    <row r="394" s="1" customFormat="1" spans="1:25">
      <c r="A394" s="2">
        <v>115057029</v>
      </c>
      <c r="B394" s="2"/>
      <c r="C394" s="2"/>
      <c r="D394" s="2"/>
      <c r="E394" s="2"/>
      <c r="F394" s="2"/>
      <c r="G394" s="2"/>
      <c r="H394" s="3"/>
      <c r="I394" s="2" t="e">
        <f t="shared" si="37"/>
        <v>#N/A</v>
      </c>
      <c r="J394" s="4" t="str">
        <f>IF(H394="","",IF(OR(AND(M394&lt;&gt;"",M394=IFERROR(INDEX($M$3:M393,MIN(IF(COUNTIF($M$3:M393,"0")=0,10^9,LOOKUP(2,1/($M$3:M393="0"),ROW($M$3:M393))),IF(COUNTIF($M$3:M393,"1")=0,10^9,LOOKUP(2,1/($M$3:M393="1"),ROW($M$3:M393))),IF(COUNTIF($M$3:M393,"2")=0,10^9,LOOKUP(2,1/($M$3:M393="2"),ROW($M$3:M393))),IF(COUNTIF($M$3:M393,"3")=0,10^9,LOOKUP(2,1/($M$3:M393="3"),ROW($M$3:M393))),IF(COUNTIF($M$3:M393,"4")=0,10^9,LOOKUP(2,1/($M$3:M393="4"),ROW($M$3:M393))),IF(COUNTIF($M$3:M393,"5")=0,10^9,LOOKUP(2,1/($M$3:M393="5"),ROW($M$3:M393))),IF(COUNTIF($M$3:M393,"6")=0,10^9,LOOKUP(2,1/($M$3:M393="6"),ROW($M$3:M393))),IF(COUNTIF($M$3:M393,"7")=0,10^9,LOOKUP(2,1/($M$3:M393="7"),ROW($M$3:M393))),IF(COUNTIF($M$3:M393,"8")=0,10^9,LOOKUP(2,1/($M$3:M393="8"),ROW($M$3:M393))),IF(COUNTIF($M$3:M393,"9")=0,10^9,LOOKUP(2,1/($M$3:M393="9"),ROW($M$3:M393))))-ROW($M$3)+1),"")),AND(N394&lt;&gt;"",N394=IFERROR(INDEX($N$3:N393,MIN(IF(COUNTIF($N$3:N393,"鼠")=0,10^9,LOOKUP(2,1/($N$3:N393="鼠"),ROW($N$3:N393))),IF(COUNTIF($N$3:N393,"牛")=0,10^9,LOOKUP(2,1/($N$3:N393="牛"),ROW($N$3:N393))),IF(COUNTIF($N$3:N393,"虎")=0,10^9,LOOKUP(2,1/($N$3:N393="虎"),ROW($N$3:N393))),IF(COUNTIF($N$3:N393,"兔")=0,10^9,LOOKUP(2,1/($N$3:N393="兔"),ROW($N$3:N393))),IF(COUNTIF($N$3:N393,"龙")=0,10^9,LOOKUP(2,1/($N$3:N393="龙"),ROW($N$3:N393))),IF(COUNTIF($N$3:N393,"蛇")=0,10^9,LOOKUP(2,1/($N$3:N393="蛇"),ROW($N$3:N393))),IF(COUNTIF($N$3:N393,"马")=0,10^9,LOOKUP(2,1/($N$3:N393="马"),ROW($N$3:N393))),IF(COUNTIF($N$3:N393,"羊")=0,10^9,LOOKUP(2,1/($N$3:N393="羊"),ROW($N$3:N393))),IF(COUNTIF($N$3:N393,"猴")=0,10^9,LOOKUP(2,1/($N$3:N393="猴"),ROW($N$3:N393))),IF(COUNTIF($N$3:N393,"鸡")=0,10^9,LOOKUP(2,1/($N$3:N393="鸡"),ROW($N$3:N393))),IF(COUNTIF($N$3:N393,"狗")=0,10^9,LOOKUP(2,1/($N$3:N393="狗"),ROW($N$3:N393))),IF(COUNTIF($N$3:N393,"猪")=0,10^9,LOOKUP(2,1/($N$3:N393="猪"),ROW($N$3:N393))))-ROW($N$3)+1),""))),0,IF(ISNUMBER(J393),J393+1,1)))</f>
        <v/>
      </c>
      <c r="K394" s="5" t="e">
        <f t="shared" si="42"/>
        <v>#N/A</v>
      </c>
      <c r="M394" s="6" t="str">
        <f t="shared" si="38"/>
        <v/>
      </c>
      <c r="N394" s="2" t="e">
        <f t="shared" si="39"/>
        <v>#N/A</v>
      </c>
      <c r="O394" s="7" t="str">
        <f>IF(M394="","",IF(COUNTIF(M395:$M$1000,M394)&gt;0,"",M394))</f>
        <v/>
      </c>
      <c r="P394" s="8" t="e">
        <f>IF(N394="","",IF(COUNTIF(N395:$N$1000,N394)&gt;0,"",N394))</f>
        <v>#N/A</v>
      </c>
      <c r="Q394" s="21" t="e">
        <f t="shared" si="40"/>
        <v>#NUM!</v>
      </c>
      <c r="R394" s="22" t="e">
        <f t="shared" si="41"/>
        <v>#NUM!</v>
      </c>
      <c r="S394" s="11"/>
      <c r="T394" s="11"/>
      <c r="U394" s="11"/>
      <c r="W394" s="11"/>
      <c r="X394" s="2"/>
      <c r="Y394" s="2"/>
    </row>
    <row r="395" s="1" customFormat="1" spans="1:25">
      <c r="A395" s="2">
        <v>115057030</v>
      </c>
      <c r="B395" s="2"/>
      <c r="C395" s="2"/>
      <c r="D395" s="2"/>
      <c r="E395" s="2"/>
      <c r="F395" s="2"/>
      <c r="G395" s="2"/>
      <c r="H395" s="3"/>
      <c r="I395" s="2" t="e">
        <f t="shared" si="37"/>
        <v>#N/A</v>
      </c>
      <c r="J395" s="4" t="str">
        <f>IF(H395="","",IF(OR(AND(M395&lt;&gt;"",M395=IFERROR(INDEX($M$3:M394,MIN(IF(COUNTIF($M$3:M394,"0")=0,10^9,LOOKUP(2,1/($M$3:M394="0"),ROW($M$3:M394))),IF(COUNTIF($M$3:M394,"1")=0,10^9,LOOKUP(2,1/($M$3:M394="1"),ROW($M$3:M394))),IF(COUNTIF($M$3:M394,"2")=0,10^9,LOOKUP(2,1/($M$3:M394="2"),ROW($M$3:M394))),IF(COUNTIF($M$3:M394,"3")=0,10^9,LOOKUP(2,1/($M$3:M394="3"),ROW($M$3:M394))),IF(COUNTIF($M$3:M394,"4")=0,10^9,LOOKUP(2,1/($M$3:M394="4"),ROW($M$3:M394))),IF(COUNTIF($M$3:M394,"5")=0,10^9,LOOKUP(2,1/($M$3:M394="5"),ROW($M$3:M394))),IF(COUNTIF($M$3:M394,"6")=0,10^9,LOOKUP(2,1/($M$3:M394="6"),ROW($M$3:M394))),IF(COUNTIF($M$3:M394,"7")=0,10^9,LOOKUP(2,1/($M$3:M394="7"),ROW($M$3:M394))),IF(COUNTIF($M$3:M394,"8")=0,10^9,LOOKUP(2,1/($M$3:M394="8"),ROW($M$3:M394))),IF(COUNTIF($M$3:M394,"9")=0,10^9,LOOKUP(2,1/($M$3:M394="9"),ROW($M$3:M394))))-ROW($M$3)+1),"")),AND(N395&lt;&gt;"",N395=IFERROR(INDEX($N$3:N394,MIN(IF(COUNTIF($N$3:N394,"鼠")=0,10^9,LOOKUP(2,1/($N$3:N394="鼠"),ROW($N$3:N394))),IF(COUNTIF($N$3:N394,"牛")=0,10^9,LOOKUP(2,1/($N$3:N394="牛"),ROW($N$3:N394))),IF(COUNTIF($N$3:N394,"虎")=0,10^9,LOOKUP(2,1/($N$3:N394="虎"),ROW($N$3:N394))),IF(COUNTIF($N$3:N394,"兔")=0,10^9,LOOKUP(2,1/($N$3:N394="兔"),ROW($N$3:N394))),IF(COUNTIF($N$3:N394,"龙")=0,10^9,LOOKUP(2,1/($N$3:N394="龙"),ROW($N$3:N394))),IF(COUNTIF($N$3:N394,"蛇")=0,10^9,LOOKUP(2,1/($N$3:N394="蛇"),ROW($N$3:N394))),IF(COUNTIF($N$3:N394,"马")=0,10^9,LOOKUP(2,1/($N$3:N394="马"),ROW($N$3:N394))),IF(COUNTIF($N$3:N394,"羊")=0,10^9,LOOKUP(2,1/($N$3:N394="羊"),ROW($N$3:N394))),IF(COUNTIF($N$3:N394,"猴")=0,10^9,LOOKUP(2,1/($N$3:N394="猴"),ROW($N$3:N394))),IF(COUNTIF($N$3:N394,"鸡")=0,10^9,LOOKUP(2,1/($N$3:N394="鸡"),ROW($N$3:N394))),IF(COUNTIF($N$3:N394,"狗")=0,10^9,LOOKUP(2,1/($N$3:N394="狗"),ROW($N$3:N394))),IF(COUNTIF($N$3:N394,"猪")=0,10^9,LOOKUP(2,1/($N$3:N394="猪"),ROW($N$3:N394))))-ROW($N$3)+1),""))),0,IF(ISNUMBER(J394),J394+1,1)))</f>
        <v/>
      </c>
      <c r="K395" s="5" t="e">
        <f t="shared" si="42"/>
        <v>#N/A</v>
      </c>
      <c r="M395" s="6" t="str">
        <f t="shared" si="38"/>
        <v/>
      </c>
      <c r="N395" s="2" t="e">
        <f t="shared" si="39"/>
        <v>#N/A</v>
      </c>
      <c r="O395" s="7" t="str">
        <f>IF(M395="","",IF(COUNTIF(M396:$M$1000,M395)&gt;0,"",M395))</f>
        <v/>
      </c>
      <c r="P395" s="8" t="e">
        <f>IF(N395="","",IF(COUNTIF(N396:$N$1000,N395)&gt;0,"",N395))</f>
        <v>#N/A</v>
      </c>
      <c r="Q395" s="21" t="e">
        <f t="shared" si="40"/>
        <v>#NUM!</v>
      </c>
      <c r="R395" s="22" t="e">
        <f t="shared" si="41"/>
        <v>#NUM!</v>
      </c>
      <c r="S395" s="11"/>
      <c r="T395" s="11"/>
      <c r="U395" s="11"/>
      <c r="W395" s="11"/>
      <c r="X395" s="2"/>
      <c r="Y395" s="2"/>
    </row>
    <row r="396" s="1" customFormat="1" spans="1:25">
      <c r="A396" s="2">
        <v>115057031</v>
      </c>
      <c r="B396" s="2"/>
      <c r="C396" s="2"/>
      <c r="D396" s="2"/>
      <c r="E396" s="2"/>
      <c r="F396" s="2"/>
      <c r="G396" s="2"/>
      <c r="H396" s="3"/>
      <c r="I396" s="2" t="e">
        <f t="shared" si="37"/>
        <v>#N/A</v>
      </c>
      <c r="J396" s="4" t="str">
        <f>IF(H396="","",IF(OR(AND(M396&lt;&gt;"",M396=IFERROR(INDEX($M$3:M395,MIN(IF(COUNTIF($M$3:M395,"0")=0,10^9,LOOKUP(2,1/($M$3:M395="0"),ROW($M$3:M395))),IF(COUNTIF($M$3:M395,"1")=0,10^9,LOOKUP(2,1/($M$3:M395="1"),ROW($M$3:M395))),IF(COUNTIF($M$3:M395,"2")=0,10^9,LOOKUP(2,1/($M$3:M395="2"),ROW($M$3:M395))),IF(COUNTIF($M$3:M395,"3")=0,10^9,LOOKUP(2,1/($M$3:M395="3"),ROW($M$3:M395))),IF(COUNTIF($M$3:M395,"4")=0,10^9,LOOKUP(2,1/($M$3:M395="4"),ROW($M$3:M395))),IF(COUNTIF($M$3:M395,"5")=0,10^9,LOOKUP(2,1/($M$3:M395="5"),ROW($M$3:M395))),IF(COUNTIF($M$3:M395,"6")=0,10^9,LOOKUP(2,1/($M$3:M395="6"),ROW($M$3:M395))),IF(COUNTIF($M$3:M395,"7")=0,10^9,LOOKUP(2,1/($M$3:M395="7"),ROW($M$3:M395))),IF(COUNTIF($M$3:M395,"8")=0,10^9,LOOKUP(2,1/($M$3:M395="8"),ROW($M$3:M395))),IF(COUNTIF($M$3:M395,"9")=0,10^9,LOOKUP(2,1/($M$3:M395="9"),ROW($M$3:M395))))-ROW($M$3)+1),"")),AND(N396&lt;&gt;"",N396=IFERROR(INDEX($N$3:N395,MIN(IF(COUNTIF($N$3:N395,"鼠")=0,10^9,LOOKUP(2,1/($N$3:N395="鼠"),ROW($N$3:N395))),IF(COUNTIF($N$3:N395,"牛")=0,10^9,LOOKUP(2,1/($N$3:N395="牛"),ROW($N$3:N395))),IF(COUNTIF($N$3:N395,"虎")=0,10^9,LOOKUP(2,1/($N$3:N395="虎"),ROW($N$3:N395))),IF(COUNTIF($N$3:N395,"兔")=0,10^9,LOOKUP(2,1/($N$3:N395="兔"),ROW($N$3:N395))),IF(COUNTIF($N$3:N395,"龙")=0,10^9,LOOKUP(2,1/($N$3:N395="龙"),ROW($N$3:N395))),IF(COUNTIF($N$3:N395,"蛇")=0,10^9,LOOKUP(2,1/($N$3:N395="蛇"),ROW($N$3:N395))),IF(COUNTIF($N$3:N395,"马")=0,10^9,LOOKUP(2,1/($N$3:N395="马"),ROW($N$3:N395))),IF(COUNTIF($N$3:N395,"羊")=0,10^9,LOOKUP(2,1/($N$3:N395="羊"),ROW($N$3:N395))),IF(COUNTIF($N$3:N395,"猴")=0,10^9,LOOKUP(2,1/($N$3:N395="猴"),ROW($N$3:N395))),IF(COUNTIF($N$3:N395,"鸡")=0,10^9,LOOKUP(2,1/($N$3:N395="鸡"),ROW($N$3:N395))),IF(COUNTIF($N$3:N395,"狗")=0,10^9,LOOKUP(2,1/($N$3:N395="狗"),ROW($N$3:N395))),IF(COUNTIF($N$3:N395,"猪")=0,10^9,LOOKUP(2,1/($N$3:N395="猪"),ROW($N$3:N395))))-ROW($N$3)+1),""))),0,IF(ISNUMBER(J395),J395+1,1)))</f>
        <v/>
      </c>
      <c r="K396" s="5" t="e">
        <f t="shared" si="42"/>
        <v>#N/A</v>
      </c>
      <c r="M396" s="6" t="str">
        <f t="shared" si="38"/>
        <v/>
      </c>
      <c r="N396" s="2" t="e">
        <f t="shared" si="39"/>
        <v>#N/A</v>
      </c>
      <c r="O396" s="7" t="str">
        <f>IF(M396="","",IF(COUNTIF(M397:$M$1000,M396)&gt;0,"",M396))</f>
        <v/>
      </c>
      <c r="P396" s="8" t="e">
        <f>IF(N396="","",IF(COUNTIF(N397:$N$1000,N396)&gt;0,"",N396))</f>
        <v>#N/A</v>
      </c>
      <c r="Q396" s="21" t="e">
        <f t="shared" si="40"/>
        <v>#NUM!</v>
      </c>
      <c r="R396" s="22" t="e">
        <f t="shared" si="41"/>
        <v>#NUM!</v>
      </c>
      <c r="S396" s="11"/>
      <c r="T396" s="11"/>
      <c r="U396" s="11"/>
      <c r="W396" s="11"/>
      <c r="X396" s="2"/>
      <c r="Y396" s="2"/>
    </row>
    <row r="397" s="1" customFormat="1" spans="1:25">
      <c r="A397" s="2">
        <v>115057032</v>
      </c>
      <c r="B397" s="2"/>
      <c r="C397" s="2"/>
      <c r="D397" s="2"/>
      <c r="E397" s="2"/>
      <c r="F397" s="2"/>
      <c r="G397" s="2"/>
      <c r="H397" s="3"/>
      <c r="I397" s="2" t="e">
        <f t="shared" si="37"/>
        <v>#N/A</v>
      </c>
      <c r="J397" s="4" t="str">
        <f>IF(H397="","",IF(OR(AND(M397&lt;&gt;"",M397=IFERROR(INDEX($M$3:M396,MIN(IF(COUNTIF($M$3:M396,"0")=0,10^9,LOOKUP(2,1/($M$3:M396="0"),ROW($M$3:M396))),IF(COUNTIF($M$3:M396,"1")=0,10^9,LOOKUP(2,1/($M$3:M396="1"),ROW($M$3:M396))),IF(COUNTIF($M$3:M396,"2")=0,10^9,LOOKUP(2,1/($M$3:M396="2"),ROW($M$3:M396))),IF(COUNTIF($M$3:M396,"3")=0,10^9,LOOKUP(2,1/($M$3:M396="3"),ROW($M$3:M396))),IF(COUNTIF($M$3:M396,"4")=0,10^9,LOOKUP(2,1/($M$3:M396="4"),ROW($M$3:M396))),IF(COUNTIF($M$3:M396,"5")=0,10^9,LOOKUP(2,1/($M$3:M396="5"),ROW($M$3:M396))),IF(COUNTIF($M$3:M396,"6")=0,10^9,LOOKUP(2,1/($M$3:M396="6"),ROW($M$3:M396))),IF(COUNTIF($M$3:M396,"7")=0,10^9,LOOKUP(2,1/($M$3:M396="7"),ROW($M$3:M396))),IF(COUNTIF($M$3:M396,"8")=0,10^9,LOOKUP(2,1/($M$3:M396="8"),ROW($M$3:M396))),IF(COUNTIF($M$3:M396,"9")=0,10^9,LOOKUP(2,1/($M$3:M396="9"),ROW($M$3:M396))))-ROW($M$3)+1),"")),AND(N397&lt;&gt;"",N397=IFERROR(INDEX($N$3:N396,MIN(IF(COUNTIF($N$3:N396,"鼠")=0,10^9,LOOKUP(2,1/($N$3:N396="鼠"),ROW($N$3:N396))),IF(COUNTIF($N$3:N396,"牛")=0,10^9,LOOKUP(2,1/($N$3:N396="牛"),ROW($N$3:N396))),IF(COUNTIF($N$3:N396,"虎")=0,10^9,LOOKUP(2,1/($N$3:N396="虎"),ROW($N$3:N396))),IF(COUNTIF($N$3:N396,"兔")=0,10^9,LOOKUP(2,1/($N$3:N396="兔"),ROW($N$3:N396))),IF(COUNTIF($N$3:N396,"龙")=0,10^9,LOOKUP(2,1/($N$3:N396="龙"),ROW($N$3:N396))),IF(COUNTIF($N$3:N396,"蛇")=0,10^9,LOOKUP(2,1/($N$3:N396="蛇"),ROW($N$3:N396))),IF(COUNTIF($N$3:N396,"马")=0,10^9,LOOKUP(2,1/($N$3:N396="马"),ROW($N$3:N396))),IF(COUNTIF($N$3:N396,"羊")=0,10^9,LOOKUP(2,1/($N$3:N396="羊"),ROW($N$3:N396))),IF(COUNTIF($N$3:N396,"猴")=0,10^9,LOOKUP(2,1/($N$3:N396="猴"),ROW($N$3:N396))),IF(COUNTIF($N$3:N396,"鸡")=0,10^9,LOOKUP(2,1/($N$3:N396="鸡"),ROW($N$3:N396))),IF(COUNTIF($N$3:N396,"狗")=0,10^9,LOOKUP(2,1/($N$3:N396="狗"),ROW($N$3:N396))),IF(COUNTIF($N$3:N396,"猪")=0,10^9,LOOKUP(2,1/($N$3:N396="猪"),ROW($N$3:N396))))-ROW($N$3)+1),""))),0,IF(ISNUMBER(J396),J396+1,1)))</f>
        <v/>
      </c>
      <c r="K397" s="5" t="e">
        <f t="shared" si="42"/>
        <v>#N/A</v>
      </c>
      <c r="M397" s="6" t="str">
        <f t="shared" si="38"/>
        <v/>
      </c>
      <c r="N397" s="2" t="e">
        <f t="shared" si="39"/>
        <v>#N/A</v>
      </c>
      <c r="O397" s="7" t="str">
        <f>IF(M397="","",IF(COUNTIF(M398:$M$1000,M397)&gt;0,"",M397))</f>
        <v/>
      </c>
      <c r="P397" s="8" t="e">
        <f>IF(N397="","",IF(COUNTIF(N398:$N$1000,N397)&gt;0,"",N397))</f>
        <v>#N/A</v>
      </c>
      <c r="Q397" s="21" t="e">
        <f t="shared" si="40"/>
        <v>#NUM!</v>
      </c>
      <c r="R397" s="22" t="e">
        <f t="shared" si="41"/>
        <v>#NUM!</v>
      </c>
      <c r="S397" s="11"/>
      <c r="T397" s="11"/>
      <c r="U397" s="11"/>
      <c r="W397" s="11"/>
      <c r="X397" s="2"/>
      <c r="Y397" s="2"/>
    </row>
    <row r="398" s="1" customFormat="1" spans="1:25">
      <c r="A398" s="2">
        <v>115057033</v>
      </c>
      <c r="B398" s="2"/>
      <c r="C398" s="2"/>
      <c r="D398" s="2"/>
      <c r="E398" s="2"/>
      <c r="F398" s="2"/>
      <c r="G398" s="2"/>
      <c r="H398" s="3"/>
      <c r="I398" s="2" t="e">
        <f t="shared" si="37"/>
        <v>#N/A</v>
      </c>
      <c r="J398" s="4" t="str">
        <f>IF(H398="","",IF(OR(AND(M398&lt;&gt;"",M398=IFERROR(INDEX($M$3:M397,MIN(IF(COUNTIF($M$3:M397,"0")=0,10^9,LOOKUP(2,1/($M$3:M397="0"),ROW($M$3:M397))),IF(COUNTIF($M$3:M397,"1")=0,10^9,LOOKUP(2,1/($M$3:M397="1"),ROW($M$3:M397))),IF(COUNTIF($M$3:M397,"2")=0,10^9,LOOKUP(2,1/($M$3:M397="2"),ROW($M$3:M397))),IF(COUNTIF($M$3:M397,"3")=0,10^9,LOOKUP(2,1/($M$3:M397="3"),ROW($M$3:M397))),IF(COUNTIF($M$3:M397,"4")=0,10^9,LOOKUP(2,1/($M$3:M397="4"),ROW($M$3:M397))),IF(COUNTIF($M$3:M397,"5")=0,10^9,LOOKUP(2,1/($M$3:M397="5"),ROW($M$3:M397))),IF(COUNTIF($M$3:M397,"6")=0,10^9,LOOKUP(2,1/($M$3:M397="6"),ROW($M$3:M397))),IF(COUNTIF($M$3:M397,"7")=0,10^9,LOOKUP(2,1/($M$3:M397="7"),ROW($M$3:M397))),IF(COUNTIF($M$3:M397,"8")=0,10^9,LOOKUP(2,1/($M$3:M397="8"),ROW($M$3:M397))),IF(COUNTIF($M$3:M397,"9")=0,10^9,LOOKUP(2,1/($M$3:M397="9"),ROW($M$3:M397))))-ROW($M$3)+1),"")),AND(N398&lt;&gt;"",N398=IFERROR(INDEX($N$3:N397,MIN(IF(COUNTIF($N$3:N397,"鼠")=0,10^9,LOOKUP(2,1/($N$3:N397="鼠"),ROW($N$3:N397))),IF(COUNTIF($N$3:N397,"牛")=0,10^9,LOOKUP(2,1/($N$3:N397="牛"),ROW($N$3:N397))),IF(COUNTIF($N$3:N397,"虎")=0,10^9,LOOKUP(2,1/($N$3:N397="虎"),ROW($N$3:N397))),IF(COUNTIF($N$3:N397,"兔")=0,10^9,LOOKUP(2,1/($N$3:N397="兔"),ROW($N$3:N397))),IF(COUNTIF($N$3:N397,"龙")=0,10^9,LOOKUP(2,1/($N$3:N397="龙"),ROW($N$3:N397))),IF(COUNTIF($N$3:N397,"蛇")=0,10^9,LOOKUP(2,1/($N$3:N397="蛇"),ROW($N$3:N397))),IF(COUNTIF($N$3:N397,"马")=0,10^9,LOOKUP(2,1/($N$3:N397="马"),ROW($N$3:N397))),IF(COUNTIF($N$3:N397,"羊")=0,10^9,LOOKUP(2,1/($N$3:N397="羊"),ROW($N$3:N397))),IF(COUNTIF($N$3:N397,"猴")=0,10^9,LOOKUP(2,1/($N$3:N397="猴"),ROW($N$3:N397))),IF(COUNTIF($N$3:N397,"鸡")=0,10^9,LOOKUP(2,1/($N$3:N397="鸡"),ROW($N$3:N397))),IF(COUNTIF($N$3:N397,"狗")=0,10^9,LOOKUP(2,1/($N$3:N397="狗"),ROW($N$3:N397))),IF(COUNTIF($N$3:N397,"猪")=0,10^9,LOOKUP(2,1/($N$3:N397="猪"),ROW($N$3:N397))))-ROW($N$3)+1),""))),0,IF(ISNUMBER(J397),J397+1,1)))</f>
        <v/>
      </c>
      <c r="K398" s="5" t="e">
        <f t="shared" si="42"/>
        <v>#N/A</v>
      </c>
      <c r="M398" s="6" t="str">
        <f t="shared" si="38"/>
        <v/>
      </c>
      <c r="N398" s="2" t="e">
        <f t="shared" si="39"/>
        <v>#N/A</v>
      </c>
      <c r="O398" s="7" t="str">
        <f>IF(M398="","",IF(COUNTIF(M399:$M$1000,M398)&gt;0,"",M398))</f>
        <v/>
      </c>
      <c r="P398" s="8" t="e">
        <f>IF(N398="","",IF(COUNTIF(N399:$N$1000,N398)&gt;0,"",N398))</f>
        <v>#N/A</v>
      </c>
      <c r="Q398" s="21" t="e">
        <f t="shared" si="40"/>
        <v>#NUM!</v>
      </c>
      <c r="R398" s="22" t="e">
        <f t="shared" si="41"/>
        <v>#NUM!</v>
      </c>
      <c r="S398" s="11"/>
      <c r="T398" s="11"/>
      <c r="U398" s="11"/>
      <c r="W398" s="11"/>
      <c r="X398" s="2"/>
      <c r="Y398" s="2"/>
    </row>
    <row r="399" s="1" customFormat="1" spans="1:25">
      <c r="A399" s="2">
        <v>115057034</v>
      </c>
      <c r="B399" s="2"/>
      <c r="C399" s="2"/>
      <c r="D399" s="2"/>
      <c r="E399" s="2"/>
      <c r="F399" s="2"/>
      <c r="G399" s="2"/>
      <c r="H399" s="3"/>
      <c r="I399" s="2" t="e">
        <f t="shared" si="37"/>
        <v>#N/A</v>
      </c>
      <c r="J399" s="4" t="str">
        <f>IF(H399="","",IF(OR(AND(M399&lt;&gt;"",M399=IFERROR(INDEX($M$3:M398,MIN(IF(COUNTIF($M$3:M398,"0")=0,10^9,LOOKUP(2,1/($M$3:M398="0"),ROW($M$3:M398))),IF(COUNTIF($M$3:M398,"1")=0,10^9,LOOKUP(2,1/($M$3:M398="1"),ROW($M$3:M398))),IF(COUNTIF($M$3:M398,"2")=0,10^9,LOOKUP(2,1/($M$3:M398="2"),ROW($M$3:M398))),IF(COUNTIF($M$3:M398,"3")=0,10^9,LOOKUP(2,1/($M$3:M398="3"),ROW($M$3:M398))),IF(COUNTIF($M$3:M398,"4")=0,10^9,LOOKUP(2,1/($M$3:M398="4"),ROW($M$3:M398))),IF(COUNTIF($M$3:M398,"5")=0,10^9,LOOKUP(2,1/($M$3:M398="5"),ROW($M$3:M398))),IF(COUNTIF($M$3:M398,"6")=0,10^9,LOOKUP(2,1/($M$3:M398="6"),ROW($M$3:M398))),IF(COUNTIF($M$3:M398,"7")=0,10^9,LOOKUP(2,1/($M$3:M398="7"),ROW($M$3:M398))),IF(COUNTIF($M$3:M398,"8")=0,10^9,LOOKUP(2,1/($M$3:M398="8"),ROW($M$3:M398))),IF(COUNTIF($M$3:M398,"9")=0,10^9,LOOKUP(2,1/($M$3:M398="9"),ROW($M$3:M398))))-ROW($M$3)+1),"")),AND(N399&lt;&gt;"",N399=IFERROR(INDEX($N$3:N398,MIN(IF(COUNTIF($N$3:N398,"鼠")=0,10^9,LOOKUP(2,1/($N$3:N398="鼠"),ROW($N$3:N398))),IF(COUNTIF($N$3:N398,"牛")=0,10^9,LOOKUP(2,1/($N$3:N398="牛"),ROW($N$3:N398))),IF(COUNTIF($N$3:N398,"虎")=0,10^9,LOOKUP(2,1/($N$3:N398="虎"),ROW($N$3:N398))),IF(COUNTIF($N$3:N398,"兔")=0,10^9,LOOKUP(2,1/($N$3:N398="兔"),ROW($N$3:N398))),IF(COUNTIF($N$3:N398,"龙")=0,10^9,LOOKUP(2,1/($N$3:N398="龙"),ROW($N$3:N398))),IF(COUNTIF($N$3:N398,"蛇")=0,10^9,LOOKUP(2,1/($N$3:N398="蛇"),ROW($N$3:N398))),IF(COUNTIF($N$3:N398,"马")=0,10^9,LOOKUP(2,1/($N$3:N398="马"),ROW($N$3:N398))),IF(COUNTIF($N$3:N398,"羊")=0,10^9,LOOKUP(2,1/($N$3:N398="羊"),ROW($N$3:N398))),IF(COUNTIF($N$3:N398,"猴")=0,10^9,LOOKUP(2,1/($N$3:N398="猴"),ROW($N$3:N398))),IF(COUNTIF($N$3:N398,"鸡")=0,10^9,LOOKUP(2,1/($N$3:N398="鸡"),ROW($N$3:N398))),IF(COUNTIF($N$3:N398,"狗")=0,10^9,LOOKUP(2,1/($N$3:N398="狗"),ROW($N$3:N398))),IF(COUNTIF($N$3:N398,"猪")=0,10^9,LOOKUP(2,1/($N$3:N398="猪"),ROW($N$3:N398))))-ROW($N$3)+1),""))),0,IF(ISNUMBER(J398),J398+1,1)))</f>
        <v/>
      </c>
      <c r="K399" s="5" t="e">
        <f t="shared" si="42"/>
        <v>#N/A</v>
      </c>
      <c r="M399" s="6" t="str">
        <f t="shared" si="38"/>
        <v/>
      </c>
      <c r="N399" s="2" t="e">
        <f t="shared" si="39"/>
        <v>#N/A</v>
      </c>
      <c r="O399" s="7" t="str">
        <f>IF(M399="","",IF(COUNTIF(M400:$M$1000,M399)&gt;0,"",M399))</f>
        <v/>
      </c>
      <c r="P399" s="8" t="e">
        <f>IF(N399="","",IF(COUNTIF(N400:$N$1000,N399)&gt;0,"",N399))</f>
        <v>#N/A</v>
      </c>
      <c r="Q399" s="21" t="e">
        <f t="shared" si="40"/>
        <v>#NUM!</v>
      </c>
      <c r="R399" s="22" t="e">
        <f t="shared" si="41"/>
        <v>#NUM!</v>
      </c>
      <c r="S399" s="11"/>
      <c r="T399" s="11"/>
      <c r="U399" s="11"/>
      <c r="W399" s="11"/>
      <c r="X399" s="2"/>
      <c r="Y399" s="2"/>
    </row>
    <row r="400" s="1" customFormat="1" spans="1:25">
      <c r="A400" s="2">
        <v>115057035</v>
      </c>
      <c r="B400" s="2"/>
      <c r="C400" s="2"/>
      <c r="D400" s="2"/>
      <c r="E400" s="2"/>
      <c r="F400" s="2"/>
      <c r="G400" s="2"/>
      <c r="H400" s="3"/>
      <c r="I400" s="2" t="e">
        <f t="shared" si="37"/>
        <v>#N/A</v>
      </c>
      <c r="J400" s="4" t="str">
        <f>IF(H400="","",IF(OR(AND(M400&lt;&gt;"",M400=IFERROR(INDEX($M$3:M399,MIN(IF(COUNTIF($M$3:M399,"0")=0,10^9,LOOKUP(2,1/($M$3:M399="0"),ROW($M$3:M399))),IF(COUNTIF($M$3:M399,"1")=0,10^9,LOOKUP(2,1/($M$3:M399="1"),ROW($M$3:M399))),IF(COUNTIF($M$3:M399,"2")=0,10^9,LOOKUP(2,1/($M$3:M399="2"),ROW($M$3:M399))),IF(COUNTIF($M$3:M399,"3")=0,10^9,LOOKUP(2,1/($M$3:M399="3"),ROW($M$3:M399))),IF(COUNTIF($M$3:M399,"4")=0,10^9,LOOKUP(2,1/($M$3:M399="4"),ROW($M$3:M399))),IF(COUNTIF($M$3:M399,"5")=0,10^9,LOOKUP(2,1/($M$3:M399="5"),ROW($M$3:M399))),IF(COUNTIF($M$3:M399,"6")=0,10^9,LOOKUP(2,1/($M$3:M399="6"),ROW($M$3:M399))),IF(COUNTIF($M$3:M399,"7")=0,10^9,LOOKUP(2,1/($M$3:M399="7"),ROW($M$3:M399))),IF(COUNTIF($M$3:M399,"8")=0,10^9,LOOKUP(2,1/($M$3:M399="8"),ROW($M$3:M399))),IF(COUNTIF($M$3:M399,"9")=0,10^9,LOOKUP(2,1/($M$3:M399="9"),ROW($M$3:M399))))-ROW($M$3)+1),"")),AND(N400&lt;&gt;"",N400=IFERROR(INDEX($N$3:N399,MIN(IF(COUNTIF($N$3:N399,"鼠")=0,10^9,LOOKUP(2,1/($N$3:N399="鼠"),ROW($N$3:N399))),IF(COUNTIF($N$3:N399,"牛")=0,10^9,LOOKUP(2,1/($N$3:N399="牛"),ROW($N$3:N399))),IF(COUNTIF($N$3:N399,"虎")=0,10^9,LOOKUP(2,1/($N$3:N399="虎"),ROW($N$3:N399))),IF(COUNTIF($N$3:N399,"兔")=0,10^9,LOOKUP(2,1/($N$3:N399="兔"),ROW($N$3:N399))),IF(COUNTIF($N$3:N399,"龙")=0,10^9,LOOKUP(2,1/($N$3:N399="龙"),ROW($N$3:N399))),IF(COUNTIF($N$3:N399,"蛇")=0,10^9,LOOKUP(2,1/($N$3:N399="蛇"),ROW($N$3:N399))),IF(COUNTIF($N$3:N399,"马")=0,10^9,LOOKUP(2,1/($N$3:N399="马"),ROW($N$3:N399))),IF(COUNTIF($N$3:N399,"羊")=0,10^9,LOOKUP(2,1/($N$3:N399="羊"),ROW($N$3:N399))),IF(COUNTIF($N$3:N399,"猴")=0,10^9,LOOKUP(2,1/($N$3:N399="猴"),ROW($N$3:N399))),IF(COUNTIF($N$3:N399,"鸡")=0,10^9,LOOKUP(2,1/($N$3:N399="鸡"),ROW($N$3:N399))),IF(COUNTIF($N$3:N399,"狗")=0,10^9,LOOKUP(2,1/($N$3:N399="狗"),ROW($N$3:N399))),IF(COUNTIF($N$3:N399,"猪")=0,10^9,LOOKUP(2,1/($N$3:N399="猪"),ROW($N$3:N399))))-ROW($N$3)+1),""))),0,IF(ISNUMBER(J399),J399+1,1)))</f>
        <v/>
      </c>
      <c r="K400" s="5" t="e">
        <f t="shared" si="42"/>
        <v>#N/A</v>
      </c>
      <c r="M400" s="6" t="str">
        <f t="shared" si="38"/>
        <v/>
      </c>
      <c r="N400" s="2" t="e">
        <f t="shared" si="39"/>
        <v>#N/A</v>
      </c>
      <c r="O400" s="7" t="str">
        <f>IF(M400="","",IF(COUNTIF(M401:$M$1000,M400)&gt;0,"",M400))</f>
        <v/>
      </c>
      <c r="P400" s="8" t="e">
        <f>IF(N400="","",IF(COUNTIF(N401:$N$1000,N400)&gt;0,"",N400))</f>
        <v>#N/A</v>
      </c>
      <c r="Q400" s="21" t="e">
        <f t="shared" si="40"/>
        <v>#NUM!</v>
      </c>
      <c r="R400" s="22" t="e">
        <f t="shared" si="41"/>
        <v>#NUM!</v>
      </c>
      <c r="S400" s="11"/>
      <c r="T400" s="11"/>
      <c r="U400" s="11"/>
      <c r="W400" s="11"/>
      <c r="X400" s="2"/>
      <c r="Y400" s="2"/>
    </row>
    <row r="401" s="1" customFormat="1" spans="1:25">
      <c r="A401" s="2">
        <v>115057036</v>
      </c>
      <c r="B401" s="2"/>
      <c r="C401" s="2"/>
      <c r="D401" s="2"/>
      <c r="E401" s="2"/>
      <c r="F401" s="2"/>
      <c r="G401" s="2"/>
      <c r="H401" s="3"/>
      <c r="I401" s="2" t="e">
        <f t="shared" si="37"/>
        <v>#N/A</v>
      </c>
      <c r="J401" s="4" t="str">
        <f>IF(H401="","",IF(OR(AND(M401&lt;&gt;"",M401=IFERROR(INDEX($M$3:M400,MIN(IF(COUNTIF($M$3:M400,"0")=0,10^9,LOOKUP(2,1/($M$3:M400="0"),ROW($M$3:M400))),IF(COUNTIF($M$3:M400,"1")=0,10^9,LOOKUP(2,1/($M$3:M400="1"),ROW($M$3:M400))),IF(COUNTIF($M$3:M400,"2")=0,10^9,LOOKUP(2,1/($M$3:M400="2"),ROW($M$3:M400))),IF(COUNTIF($M$3:M400,"3")=0,10^9,LOOKUP(2,1/($M$3:M400="3"),ROW($M$3:M400))),IF(COUNTIF($M$3:M400,"4")=0,10^9,LOOKUP(2,1/($M$3:M400="4"),ROW($M$3:M400))),IF(COUNTIF($M$3:M400,"5")=0,10^9,LOOKUP(2,1/($M$3:M400="5"),ROW($M$3:M400))),IF(COUNTIF($M$3:M400,"6")=0,10^9,LOOKUP(2,1/($M$3:M400="6"),ROW($M$3:M400))),IF(COUNTIF($M$3:M400,"7")=0,10^9,LOOKUP(2,1/($M$3:M400="7"),ROW($M$3:M400))),IF(COUNTIF($M$3:M400,"8")=0,10^9,LOOKUP(2,1/($M$3:M400="8"),ROW($M$3:M400))),IF(COUNTIF($M$3:M400,"9")=0,10^9,LOOKUP(2,1/($M$3:M400="9"),ROW($M$3:M400))))-ROW($M$3)+1),"")),AND(N401&lt;&gt;"",N401=IFERROR(INDEX($N$3:N400,MIN(IF(COUNTIF($N$3:N400,"鼠")=0,10^9,LOOKUP(2,1/($N$3:N400="鼠"),ROW($N$3:N400))),IF(COUNTIF($N$3:N400,"牛")=0,10^9,LOOKUP(2,1/($N$3:N400="牛"),ROW($N$3:N400))),IF(COUNTIF($N$3:N400,"虎")=0,10^9,LOOKUP(2,1/($N$3:N400="虎"),ROW($N$3:N400))),IF(COUNTIF($N$3:N400,"兔")=0,10^9,LOOKUP(2,1/($N$3:N400="兔"),ROW($N$3:N400))),IF(COUNTIF($N$3:N400,"龙")=0,10^9,LOOKUP(2,1/($N$3:N400="龙"),ROW($N$3:N400))),IF(COUNTIF($N$3:N400,"蛇")=0,10^9,LOOKUP(2,1/($N$3:N400="蛇"),ROW($N$3:N400))),IF(COUNTIF($N$3:N400,"马")=0,10^9,LOOKUP(2,1/($N$3:N400="马"),ROW($N$3:N400))),IF(COUNTIF($N$3:N400,"羊")=0,10^9,LOOKUP(2,1/($N$3:N400="羊"),ROW($N$3:N400))),IF(COUNTIF($N$3:N400,"猴")=0,10^9,LOOKUP(2,1/($N$3:N400="猴"),ROW($N$3:N400))),IF(COUNTIF($N$3:N400,"鸡")=0,10^9,LOOKUP(2,1/($N$3:N400="鸡"),ROW($N$3:N400))),IF(COUNTIF($N$3:N400,"狗")=0,10^9,LOOKUP(2,1/($N$3:N400="狗"),ROW($N$3:N400))),IF(COUNTIF($N$3:N400,"猪")=0,10^9,LOOKUP(2,1/($N$3:N400="猪"),ROW($N$3:N400))))-ROW($N$3)+1),""))),0,IF(ISNUMBER(J400),J400+1,1)))</f>
        <v/>
      </c>
      <c r="K401" s="5" t="e">
        <f t="shared" si="42"/>
        <v>#N/A</v>
      </c>
      <c r="M401" s="6" t="str">
        <f t="shared" si="38"/>
        <v/>
      </c>
      <c r="N401" s="2" t="e">
        <f t="shared" si="39"/>
        <v>#N/A</v>
      </c>
      <c r="O401" s="7" t="str">
        <f>IF(M401="","",IF(COUNTIF(M402:$M$1000,M401)&gt;0,"",M401))</f>
        <v/>
      </c>
      <c r="P401" s="8" t="e">
        <f>IF(N401="","",IF(COUNTIF(N402:$N$1000,N401)&gt;0,"",N401))</f>
        <v>#N/A</v>
      </c>
      <c r="Q401" s="21" t="e">
        <f t="shared" si="40"/>
        <v>#NUM!</v>
      </c>
      <c r="R401" s="22" t="e">
        <f t="shared" si="41"/>
        <v>#NUM!</v>
      </c>
      <c r="S401" s="11"/>
      <c r="T401" s="11"/>
      <c r="U401" s="11"/>
      <c r="W401" s="11"/>
      <c r="X401" s="2"/>
      <c r="Y401" s="2"/>
    </row>
    <row r="402" s="1" customFormat="1" spans="1:25">
      <c r="A402" s="2">
        <v>115057037</v>
      </c>
      <c r="B402" s="2"/>
      <c r="C402" s="2"/>
      <c r="D402" s="2"/>
      <c r="E402" s="2"/>
      <c r="F402" s="2"/>
      <c r="G402" s="2"/>
      <c r="H402" s="3"/>
      <c r="I402" s="2" t="e">
        <f t="shared" si="37"/>
        <v>#N/A</v>
      </c>
      <c r="J402" s="4" t="str">
        <f>IF(H402="","",IF(OR(AND(M402&lt;&gt;"",M402=IFERROR(INDEX($M$3:M401,MIN(IF(COUNTIF($M$3:M401,"0")=0,10^9,LOOKUP(2,1/($M$3:M401="0"),ROW($M$3:M401))),IF(COUNTIF($M$3:M401,"1")=0,10^9,LOOKUP(2,1/($M$3:M401="1"),ROW($M$3:M401))),IF(COUNTIF($M$3:M401,"2")=0,10^9,LOOKUP(2,1/($M$3:M401="2"),ROW($M$3:M401))),IF(COUNTIF($M$3:M401,"3")=0,10^9,LOOKUP(2,1/($M$3:M401="3"),ROW($M$3:M401))),IF(COUNTIF($M$3:M401,"4")=0,10^9,LOOKUP(2,1/($M$3:M401="4"),ROW($M$3:M401))),IF(COUNTIF($M$3:M401,"5")=0,10^9,LOOKUP(2,1/($M$3:M401="5"),ROW($M$3:M401))),IF(COUNTIF($M$3:M401,"6")=0,10^9,LOOKUP(2,1/($M$3:M401="6"),ROW($M$3:M401))),IF(COUNTIF($M$3:M401,"7")=0,10^9,LOOKUP(2,1/($M$3:M401="7"),ROW($M$3:M401))),IF(COUNTIF($M$3:M401,"8")=0,10^9,LOOKUP(2,1/($M$3:M401="8"),ROW($M$3:M401))),IF(COUNTIF($M$3:M401,"9")=0,10^9,LOOKUP(2,1/($M$3:M401="9"),ROW($M$3:M401))))-ROW($M$3)+1),"")),AND(N402&lt;&gt;"",N402=IFERROR(INDEX($N$3:N401,MIN(IF(COUNTIF($N$3:N401,"鼠")=0,10^9,LOOKUP(2,1/($N$3:N401="鼠"),ROW($N$3:N401))),IF(COUNTIF($N$3:N401,"牛")=0,10^9,LOOKUP(2,1/($N$3:N401="牛"),ROW($N$3:N401))),IF(COUNTIF($N$3:N401,"虎")=0,10^9,LOOKUP(2,1/($N$3:N401="虎"),ROW($N$3:N401))),IF(COUNTIF($N$3:N401,"兔")=0,10^9,LOOKUP(2,1/($N$3:N401="兔"),ROW($N$3:N401))),IF(COUNTIF($N$3:N401,"龙")=0,10^9,LOOKUP(2,1/($N$3:N401="龙"),ROW($N$3:N401))),IF(COUNTIF($N$3:N401,"蛇")=0,10^9,LOOKUP(2,1/($N$3:N401="蛇"),ROW($N$3:N401))),IF(COUNTIF($N$3:N401,"马")=0,10^9,LOOKUP(2,1/($N$3:N401="马"),ROW($N$3:N401))),IF(COUNTIF($N$3:N401,"羊")=0,10^9,LOOKUP(2,1/($N$3:N401="羊"),ROW($N$3:N401))),IF(COUNTIF($N$3:N401,"猴")=0,10^9,LOOKUP(2,1/($N$3:N401="猴"),ROW($N$3:N401))),IF(COUNTIF($N$3:N401,"鸡")=0,10^9,LOOKUP(2,1/($N$3:N401="鸡"),ROW($N$3:N401))),IF(COUNTIF($N$3:N401,"狗")=0,10^9,LOOKUP(2,1/($N$3:N401="狗"),ROW($N$3:N401))),IF(COUNTIF($N$3:N401,"猪")=0,10^9,LOOKUP(2,1/($N$3:N401="猪"),ROW($N$3:N401))))-ROW($N$3)+1),""))),0,IF(ISNUMBER(J401),J401+1,1)))</f>
        <v/>
      </c>
      <c r="K402" s="5" t="e">
        <f t="shared" si="42"/>
        <v>#N/A</v>
      </c>
      <c r="M402" s="6" t="str">
        <f t="shared" si="38"/>
        <v/>
      </c>
      <c r="N402" s="2" t="e">
        <f t="shared" si="39"/>
        <v>#N/A</v>
      </c>
      <c r="O402" s="7" t="str">
        <f>IF(M402="","",IF(COUNTIF(M403:$M$1000,M402)&gt;0,"",M402))</f>
        <v/>
      </c>
      <c r="P402" s="8" t="e">
        <f>IF(N402="","",IF(COUNTIF(N403:$N$1000,N402)&gt;0,"",N402))</f>
        <v>#N/A</v>
      </c>
      <c r="Q402" s="21" t="e">
        <f t="shared" si="40"/>
        <v>#NUM!</v>
      </c>
      <c r="R402" s="22" t="e">
        <f t="shared" si="41"/>
        <v>#NUM!</v>
      </c>
      <c r="S402" s="11"/>
      <c r="T402" s="11"/>
      <c r="U402" s="11"/>
      <c r="W402" s="11"/>
      <c r="X402" s="2"/>
      <c r="Y402" s="2"/>
    </row>
    <row r="403" s="1" customFormat="1" spans="1:25">
      <c r="A403" s="2">
        <v>115057038</v>
      </c>
      <c r="B403" s="2"/>
      <c r="C403" s="2"/>
      <c r="D403" s="2"/>
      <c r="E403" s="2"/>
      <c r="F403" s="2"/>
      <c r="G403" s="2"/>
      <c r="H403" s="3"/>
      <c r="I403" s="2" t="e">
        <f t="shared" si="37"/>
        <v>#N/A</v>
      </c>
      <c r="J403" s="4" t="str">
        <f>IF(H403="","",IF(OR(AND(M403&lt;&gt;"",M403=IFERROR(INDEX($M$3:M402,MIN(IF(COUNTIF($M$3:M402,"0")=0,10^9,LOOKUP(2,1/($M$3:M402="0"),ROW($M$3:M402))),IF(COUNTIF($M$3:M402,"1")=0,10^9,LOOKUP(2,1/($M$3:M402="1"),ROW($M$3:M402))),IF(COUNTIF($M$3:M402,"2")=0,10^9,LOOKUP(2,1/($M$3:M402="2"),ROW($M$3:M402))),IF(COUNTIF($M$3:M402,"3")=0,10^9,LOOKUP(2,1/($M$3:M402="3"),ROW($M$3:M402))),IF(COUNTIF($M$3:M402,"4")=0,10^9,LOOKUP(2,1/($M$3:M402="4"),ROW($M$3:M402))),IF(COUNTIF($M$3:M402,"5")=0,10^9,LOOKUP(2,1/($M$3:M402="5"),ROW($M$3:M402))),IF(COUNTIF($M$3:M402,"6")=0,10^9,LOOKUP(2,1/($M$3:M402="6"),ROW($M$3:M402))),IF(COUNTIF($M$3:M402,"7")=0,10^9,LOOKUP(2,1/($M$3:M402="7"),ROW($M$3:M402))),IF(COUNTIF($M$3:M402,"8")=0,10^9,LOOKUP(2,1/($M$3:M402="8"),ROW($M$3:M402))),IF(COUNTIF($M$3:M402,"9")=0,10^9,LOOKUP(2,1/($M$3:M402="9"),ROW($M$3:M402))))-ROW($M$3)+1),"")),AND(N403&lt;&gt;"",N403=IFERROR(INDEX($N$3:N402,MIN(IF(COUNTIF($N$3:N402,"鼠")=0,10^9,LOOKUP(2,1/($N$3:N402="鼠"),ROW($N$3:N402))),IF(COUNTIF($N$3:N402,"牛")=0,10^9,LOOKUP(2,1/($N$3:N402="牛"),ROW($N$3:N402))),IF(COUNTIF($N$3:N402,"虎")=0,10^9,LOOKUP(2,1/($N$3:N402="虎"),ROW($N$3:N402))),IF(COUNTIF($N$3:N402,"兔")=0,10^9,LOOKUP(2,1/($N$3:N402="兔"),ROW($N$3:N402))),IF(COUNTIF($N$3:N402,"龙")=0,10^9,LOOKUP(2,1/($N$3:N402="龙"),ROW($N$3:N402))),IF(COUNTIF($N$3:N402,"蛇")=0,10^9,LOOKUP(2,1/($N$3:N402="蛇"),ROW($N$3:N402))),IF(COUNTIF($N$3:N402,"马")=0,10^9,LOOKUP(2,1/($N$3:N402="马"),ROW($N$3:N402))),IF(COUNTIF($N$3:N402,"羊")=0,10^9,LOOKUP(2,1/($N$3:N402="羊"),ROW($N$3:N402))),IF(COUNTIF($N$3:N402,"猴")=0,10^9,LOOKUP(2,1/($N$3:N402="猴"),ROW($N$3:N402))),IF(COUNTIF($N$3:N402,"鸡")=0,10^9,LOOKUP(2,1/($N$3:N402="鸡"),ROW($N$3:N402))),IF(COUNTIF($N$3:N402,"狗")=0,10^9,LOOKUP(2,1/($N$3:N402="狗"),ROW($N$3:N402))),IF(COUNTIF($N$3:N402,"猪")=0,10^9,LOOKUP(2,1/($N$3:N402="猪"),ROW($N$3:N402))))-ROW($N$3)+1),""))),0,IF(ISNUMBER(J402),J402+1,1)))</f>
        <v/>
      </c>
      <c r="K403" s="5" t="e">
        <f t="shared" si="42"/>
        <v>#N/A</v>
      </c>
      <c r="M403" s="6" t="str">
        <f t="shared" si="38"/>
        <v/>
      </c>
      <c r="N403" s="2" t="e">
        <f t="shared" si="39"/>
        <v>#N/A</v>
      </c>
      <c r="O403" s="7" t="str">
        <f>IF(M403="","",IF(COUNTIF(M404:$M$1000,M403)&gt;0,"",M403))</f>
        <v/>
      </c>
      <c r="P403" s="8" t="e">
        <f>IF(N403="","",IF(COUNTIF(N404:$N$1000,N403)&gt;0,"",N403))</f>
        <v>#N/A</v>
      </c>
      <c r="Q403" s="21" t="e">
        <f t="shared" si="40"/>
        <v>#NUM!</v>
      </c>
      <c r="R403" s="22" t="e">
        <f t="shared" si="41"/>
        <v>#NUM!</v>
      </c>
      <c r="S403" s="11"/>
      <c r="T403" s="11"/>
      <c r="U403" s="11"/>
      <c r="W403" s="11"/>
      <c r="X403" s="2"/>
      <c r="Y403" s="2"/>
    </row>
    <row r="404" s="1" customFormat="1" spans="1:25">
      <c r="A404" s="2">
        <v>115057039</v>
      </c>
      <c r="B404" s="2"/>
      <c r="C404" s="2"/>
      <c r="D404" s="2"/>
      <c r="E404" s="2"/>
      <c r="F404" s="2"/>
      <c r="G404" s="2"/>
      <c r="H404" s="3"/>
      <c r="I404" s="2" t="e">
        <f t="shared" si="37"/>
        <v>#N/A</v>
      </c>
      <c r="J404" s="4" t="str">
        <f>IF(H404="","",IF(OR(AND(M404&lt;&gt;"",M404=IFERROR(INDEX($M$3:M403,MIN(IF(COUNTIF($M$3:M403,"0")=0,10^9,LOOKUP(2,1/($M$3:M403="0"),ROW($M$3:M403))),IF(COUNTIF($M$3:M403,"1")=0,10^9,LOOKUP(2,1/($M$3:M403="1"),ROW($M$3:M403))),IF(COUNTIF($M$3:M403,"2")=0,10^9,LOOKUP(2,1/($M$3:M403="2"),ROW($M$3:M403))),IF(COUNTIF($M$3:M403,"3")=0,10^9,LOOKUP(2,1/($M$3:M403="3"),ROW($M$3:M403))),IF(COUNTIF($M$3:M403,"4")=0,10^9,LOOKUP(2,1/($M$3:M403="4"),ROW($M$3:M403))),IF(COUNTIF($M$3:M403,"5")=0,10^9,LOOKUP(2,1/($M$3:M403="5"),ROW($M$3:M403))),IF(COUNTIF($M$3:M403,"6")=0,10^9,LOOKUP(2,1/($M$3:M403="6"),ROW($M$3:M403))),IF(COUNTIF($M$3:M403,"7")=0,10^9,LOOKUP(2,1/($M$3:M403="7"),ROW($M$3:M403))),IF(COUNTIF($M$3:M403,"8")=0,10^9,LOOKUP(2,1/($M$3:M403="8"),ROW($M$3:M403))),IF(COUNTIF($M$3:M403,"9")=0,10^9,LOOKUP(2,1/($M$3:M403="9"),ROW($M$3:M403))))-ROW($M$3)+1),"")),AND(N404&lt;&gt;"",N404=IFERROR(INDEX($N$3:N403,MIN(IF(COUNTIF($N$3:N403,"鼠")=0,10^9,LOOKUP(2,1/($N$3:N403="鼠"),ROW($N$3:N403))),IF(COUNTIF($N$3:N403,"牛")=0,10^9,LOOKUP(2,1/($N$3:N403="牛"),ROW($N$3:N403))),IF(COUNTIF($N$3:N403,"虎")=0,10^9,LOOKUP(2,1/($N$3:N403="虎"),ROW($N$3:N403))),IF(COUNTIF($N$3:N403,"兔")=0,10^9,LOOKUP(2,1/($N$3:N403="兔"),ROW($N$3:N403))),IF(COUNTIF($N$3:N403,"龙")=0,10^9,LOOKUP(2,1/($N$3:N403="龙"),ROW($N$3:N403))),IF(COUNTIF($N$3:N403,"蛇")=0,10^9,LOOKUP(2,1/($N$3:N403="蛇"),ROW($N$3:N403))),IF(COUNTIF($N$3:N403,"马")=0,10^9,LOOKUP(2,1/($N$3:N403="马"),ROW($N$3:N403))),IF(COUNTIF($N$3:N403,"羊")=0,10^9,LOOKUP(2,1/($N$3:N403="羊"),ROW($N$3:N403))),IF(COUNTIF($N$3:N403,"猴")=0,10^9,LOOKUP(2,1/($N$3:N403="猴"),ROW($N$3:N403))),IF(COUNTIF($N$3:N403,"鸡")=0,10^9,LOOKUP(2,1/($N$3:N403="鸡"),ROW($N$3:N403))),IF(COUNTIF($N$3:N403,"狗")=0,10^9,LOOKUP(2,1/($N$3:N403="狗"),ROW($N$3:N403))),IF(COUNTIF($N$3:N403,"猪")=0,10^9,LOOKUP(2,1/($N$3:N403="猪"),ROW($N$3:N403))))-ROW($N$3)+1),""))),0,IF(ISNUMBER(J403),J403+1,1)))</f>
        <v/>
      </c>
      <c r="K404" s="5" t="e">
        <f t="shared" si="42"/>
        <v>#N/A</v>
      </c>
      <c r="M404" s="6" t="str">
        <f t="shared" si="38"/>
        <v/>
      </c>
      <c r="N404" s="2" t="e">
        <f t="shared" si="39"/>
        <v>#N/A</v>
      </c>
      <c r="O404" s="7" t="str">
        <f>IF(M404="","",IF(COUNTIF(M405:$M$1000,M404)&gt;0,"",M404))</f>
        <v/>
      </c>
      <c r="P404" s="8" t="e">
        <f>IF(N404="","",IF(COUNTIF(N405:$N$1000,N404)&gt;0,"",N404))</f>
        <v>#N/A</v>
      </c>
      <c r="Q404" s="21" t="e">
        <f t="shared" si="40"/>
        <v>#NUM!</v>
      </c>
      <c r="R404" s="22" t="e">
        <f t="shared" si="41"/>
        <v>#NUM!</v>
      </c>
      <c r="S404" s="11"/>
      <c r="T404" s="11"/>
      <c r="U404" s="11"/>
      <c r="W404" s="11"/>
      <c r="X404" s="2"/>
      <c r="Y404" s="2"/>
    </row>
    <row r="405" s="1" customFormat="1" spans="1:25">
      <c r="A405" s="2">
        <v>115057040</v>
      </c>
      <c r="B405" s="2"/>
      <c r="C405" s="2"/>
      <c r="D405" s="2"/>
      <c r="E405" s="2"/>
      <c r="F405" s="2"/>
      <c r="G405" s="2"/>
      <c r="H405" s="3"/>
      <c r="I405" s="2" t="e">
        <f t="shared" si="37"/>
        <v>#N/A</v>
      </c>
      <c r="J405" s="4" t="str">
        <f>IF(H405="","",IF(OR(AND(M405&lt;&gt;"",M405=IFERROR(INDEX($M$3:M404,MIN(IF(COUNTIF($M$3:M404,"0")=0,10^9,LOOKUP(2,1/($M$3:M404="0"),ROW($M$3:M404))),IF(COUNTIF($M$3:M404,"1")=0,10^9,LOOKUP(2,1/($M$3:M404="1"),ROW($M$3:M404))),IF(COUNTIF($M$3:M404,"2")=0,10^9,LOOKUP(2,1/($M$3:M404="2"),ROW($M$3:M404))),IF(COUNTIF($M$3:M404,"3")=0,10^9,LOOKUP(2,1/($M$3:M404="3"),ROW($M$3:M404))),IF(COUNTIF($M$3:M404,"4")=0,10^9,LOOKUP(2,1/($M$3:M404="4"),ROW($M$3:M404))),IF(COUNTIF($M$3:M404,"5")=0,10^9,LOOKUP(2,1/($M$3:M404="5"),ROW($M$3:M404))),IF(COUNTIF($M$3:M404,"6")=0,10^9,LOOKUP(2,1/($M$3:M404="6"),ROW($M$3:M404))),IF(COUNTIF($M$3:M404,"7")=0,10^9,LOOKUP(2,1/($M$3:M404="7"),ROW($M$3:M404))),IF(COUNTIF($M$3:M404,"8")=0,10^9,LOOKUP(2,1/($M$3:M404="8"),ROW($M$3:M404))),IF(COUNTIF($M$3:M404,"9")=0,10^9,LOOKUP(2,1/($M$3:M404="9"),ROW($M$3:M404))))-ROW($M$3)+1),"")),AND(N405&lt;&gt;"",N405=IFERROR(INDEX($N$3:N404,MIN(IF(COUNTIF($N$3:N404,"鼠")=0,10^9,LOOKUP(2,1/($N$3:N404="鼠"),ROW($N$3:N404))),IF(COUNTIF($N$3:N404,"牛")=0,10^9,LOOKUP(2,1/($N$3:N404="牛"),ROW($N$3:N404))),IF(COUNTIF($N$3:N404,"虎")=0,10^9,LOOKUP(2,1/($N$3:N404="虎"),ROW($N$3:N404))),IF(COUNTIF($N$3:N404,"兔")=0,10^9,LOOKUP(2,1/($N$3:N404="兔"),ROW($N$3:N404))),IF(COUNTIF($N$3:N404,"龙")=0,10^9,LOOKUP(2,1/($N$3:N404="龙"),ROW($N$3:N404))),IF(COUNTIF($N$3:N404,"蛇")=0,10^9,LOOKUP(2,1/($N$3:N404="蛇"),ROW($N$3:N404))),IF(COUNTIF($N$3:N404,"马")=0,10^9,LOOKUP(2,1/($N$3:N404="马"),ROW($N$3:N404))),IF(COUNTIF($N$3:N404,"羊")=0,10^9,LOOKUP(2,1/($N$3:N404="羊"),ROW($N$3:N404))),IF(COUNTIF($N$3:N404,"猴")=0,10^9,LOOKUP(2,1/($N$3:N404="猴"),ROW($N$3:N404))),IF(COUNTIF($N$3:N404,"鸡")=0,10^9,LOOKUP(2,1/($N$3:N404="鸡"),ROW($N$3:N404))),IF(COUNTIF($N$3:N404,"狗")=0,10^9,LOOKUP(2,1/($N$3:N404="狗"),ROW($N$3:N404))),IF(COUNTIF($N$3:N404,"猪")=0,10^9,LOOKUP(2,1/($N$3:N404="猪"),ROW($N$3:N404))))-ROW($N$3)+1),""))),0,IF(ISNUMBER(J404),J404+1,1)))</f>
        <v/>
      </c>
      <c r="K405" s="5" t="e">
        <f t="shared" si="42"/>
        <v>#N/A</v>
      </c>
      <c r="M405" s="6" t="str">
        <f t="shared" si="38"/>
        <v/>
      </c>
      <c r="N405" s="2" t="e">
        <f t="shared" si="39"/>
        <v>#N/A</v>
      </c>
      <c r="O405" s="7" t="str">
        <f>IF(M405="","",IF(COUNTIF(M406:$M$1000,M405)&gt;0,"",M405))</f>
        <v/>
      </c>
      <c r="P405" s="8" t="e">
        <f>IF(N405="","",IF(COUNTIF(N406:$N$1000,N405)&gt;0,"",N405))</f>
        <v>#N/A</v>
      </c>
      <c r="Q405" s="21" t="e">
        <f t="shared" si="40"/>
        <v>#NUM!</v>
      </c>
      <c r="R405" s="22" t="e">
        <f t="shared" si="41"/>
        <v>#NUM!</v>
      </c>
      <c r="S405" s="11"/>
      <c r="T405" s="11"/>
      <c r="U405" s="11"/>
      <c r="W405" s="11"/>
      <c r="X405" s="2"/>
      <c r="Y405" s="2"/>
    </row>
    <row r="406" s="1" customFormat="1" spans="1:25">
      <c r="A406" s="2">
        <v>115057041</v>
      </c>
      <c r="B406" s="2"/>
      <c r="C406" s="2"/>
      <c r="D406" s="2"/>
      <c r="E406" s="2"/>
      <c r="F406" s="2"/>
      <c r="G406" s="2"/>
      <c r="H406" s="3"/>
      <c r="I406" s="2" t="e">
        <f t="shared" si="37"/>
        <v>#N/A</v>
      </c>
      <c r="J406" s="4" t="str">
        <f>IF(H406="","",IF(OR(AND(M406&lt;&gt;"",M406=IFERROR(INDEX($M$3:M405,MIN(IF(COUNTIF($M$3:M405,"0")=0,10^9,LOOKUP(2,1/($M$3:M405="0"),ROW($M$3:M405))),IF(COUNTIF($M$3:M405,"1")=0,10^9,LOOKUP(2,1/($M$3:M405="1"),ROW($M$3:M405))),IF(COUNTIF($M$3:M405,"2")=0,10^9,LOOKUP(2,1/($M$3:M405="2"),ROW($M$3:M405))),IF(COUNTIF($M$3:M405,"3")=0,10^9,LOOKUP(2,1/($M$3:M405="3"),ROW($M$3:M405))),IF(COUNTIF($M$3:M405,"4")=0,10^9,LOOKUP(2,1/($M$3:M405="4"),ROW($M$3:M405))),IF(COUNTIF($M$3:M405,"5")=0,10^9,LOOKUP(2,1/($M$3:M405="5"),ROW($M$3:M405))),IF(COUNTIF($M$3:M405,"6")=0,10^9,LOOKUP(2,1/($M$3:M405="6"),ROW($M$3:M405))),IF(COUNTIF($M$3:M405,"7")=0,10^9,LOOKUP(2,1/($M$3:M405="7"),ROW($M$3:M405))),IF(COUNTIF($M$3:M405,"8")=0,10^9,LOOKUP(2,1/($M$3:M405="8"),ROW($M$3:M405))),IF(COUNTIF($M$3:M405,"9")=0,10^9,LOOKUP(2,1/($M$3:M405="9"),ROW($M$3:M405))))-ROW($M$3)+1),"")),AND(N406&lt;&gt;"",N406=IFERROR(INDEX($N$3:N405,MIN(IF(COUNTIF($N$3:N405,"鼠")=0,10^9,LOOKUP(2,1/($N$3:N405="鼠"),ROW($N$3:N405))),IF(COUNTIF($N$3:N405,"牛")=0,10^9,LOOKUP(2,1/($N$3:N405="牛"),ROW($N$3:N405))),IF(COUNTIF($N$3:N405,"虎")=0,10^9,LOOKUP(2,1/($N$3:N405="虎"),ROW($N$3:N405))),IF(COUNTIF($N$3:N405,"兔")=0,10^9,LOOKUP(2,1/($N$3:N405="兔"),ROW($N$3:N405))),IF(COUNTIF($N$3:N405,"龙")=0,10^9,LOOKUP(2,1/($N$3:N405="龙"),ROW($N$3:N405))),IF(COUNTIF($N$3:N405,"蛇")=0,10^9,LOOKUP(2,1/($N$3:N405="蛇"),ROW($N$3:N405))),IF(COUNTIF($N$3:N405,"马")=0,10^9,LOOKUP(2,1/($N$3:N405="马"),ROW($N$3:N405))),IF(COUNTIF($N$3:N405,"羊")=0,10^9,LOOKUP(2,1/($N$3:N405="羊"),ROW($N$3:N405))),IF(COUNTIF($N$3:N405,"猴")=0,10^9,LOOKUP(2,1/($N$3:N405="猴"),ROW($N$3:N405))),IF(COUNTIF($N$3:N405,"鸡")=0,10^9,LOOKUP(2,1/($N$3:N405="鸡"),ROW($N$3:N405))),IF(COUNTIF($N$3:N405,"狗")=0,10^9,LOOKUP(2,1/($N$3:N405="狗"),ROW($N$3:N405))),IF(COUNTIF($N$3:N405,"猪")=0,10^9,LOOKUP(2,1/($N$3:N405="猪"),ROW($N$3:N405))))-ROW($N$3)+1),""))),0,IF(ISNUMBER(J405),J405+1,1)))</f>
        <v/>
      </c>
      <c r="K406" s="5" t="e">
        <f t="shared" si="42"/>
        <v>#N/A</v>
      </c>
      <c r="M406" s="6" t="str">
        <f t="shared" si="38"/>
        <v/>
      </c>
      <c r="N406" s="2" t="e">
        <f t="shared" si="39"/>
        <v>#N/A</v>
      </c>
      <c r="O406" s="7" t="str">
        <f>IF(M406="","",IF(COUNTIF(M407:$M$1000,M406)&gt;0,"",M406))</f>
        <v/>
      </c>
      <c r="P406" s="8" t="e">
        <f>IF(N406="","",IF(COUNTIF(N407:$N$1000,N406)&gt;0,"",N406))</f>
        <v>#N/A</v>
      </c>
      <c r="Q406" s="21" t="e">
        <f t="shared" si="40"/>
        <v>#NUM!</v>
      </c>
      <c r="R406" s="22" t="e">
        <f t="shared" si="41"/>
        <v>#NUM!</v>
      </c>
      <c r="S406" s="11"/>
      <c r="T406" s="11"/>
      <c r="U406" s="11"/>
      <c r="W406" s="11"/>
      <c r="X406" s="2"/>
      <c r="Y406" s="2"/>
    </row>
    <row r="407" s="1" customFormat="1" spans="1:25">
      <c r="A407" s="2">
        <v>115057042</v>
      </c>
      <c r="B407" s="2"/>
      <c r="C407" s="2"/>
      <c r="D407" s="2"/>
      <c r="E407" s="2"/>
      <c r="F407" s="2"/>
      <c r="G407" s="2"/>
      <c r="H407" s="3"/>
      <c r="I407" s="2" t="e">
        <f t="shared" si="37"/>
        <v>#N/A</v>
      </c>
      <c r="J407" s="4" t="str">
        <f>IF(H407="","",IF(OR(AND(M407&lt;&gt;"",M407=IFERROR(INDEX($M$3:M406,MIN(IF(COUNTIF($M$3:M406,"0")=0,10^9,LOOKUP(2,1/($M$3:M406="0"),ROW($M$3:M406))),IF(COUNTIF($M$3:M406,"1")=0,10^9,LOOKUP(2,1/($M$3:M406="1"),ROW($M$3:M406))),IF(COUNTIF($M$3:M406,"2")=0,10^9,LOOKUP(2,1/($M$3:M406="2"),ROW($M$3:M406))),IF(COUNTIF($M$3:M406,"3")=0,10^9,LOOKUP(2,1/($M$3:M406="3"),ROW($M$3:M406))),IF(COUNTIF($M$3:M406,"4")=0,10^9,LOOKUP(2,1/($M$3:M406="4"),ROW($M$3:M406))),IF(COUNTIF($M$3:M406,"5")=0,10^9,LOOKUP(2,1/($M$3:M406="5"),ROW($M$3:M406))),IF(COUNTIF($M$3:M406,"6")=0,10^9,LOOKUP(2,1/($M$3:M406="6"),ROW($M$3:M406))),IF(COUNTIF($M$3:M406,"7")=0,10^9,LOOKUP(2,1/($M$3:M406="7"),ROW($M$3:M406))),IF(COUNTIF($M$3:M406,"8")=0,10^9,LOOKUP(2,1/($M$3:M406="8"),ROW($M$3:M406))),IF(COUNTIF($M$3:M406,"9")=0,10^9,LOOKUP(2,1/($M$3:M406="9"),ROW($M$3:M406))))-ROW($M$3)+1),"")),AND(N407&lt;&gt;"",N407=IFERROR(INDEX($N$3:N406,MIN(IF(COUNTIF($N$3:N406,"鼠")=0,10^9,LOOKUP(2,1/($N$3:N406="鼠"),ROW($N$3:N406))),IF(COUNTIF($N$3:N406,"牛")=0,10^9,LOOKUP(2,1/($N$3:N406="牛"),ROW($N$3:N406))),IF(COUNTIF($N$3:N406,"虎")=0,10^9,LOOKUP(2,1/($N$3:N406="虎"),ROW($N$3:N406))),IF(COUNTIF($N$3:N406,"兔")=0,10^9,LOOKUP(2,1/($N$3:N406="兔"),ROW($N$3:N406))),IF(COUNTIF($N$3:N406,"龙")=0,10^9,LOOKUP(2,1/($N$3:N406="龙"),ROW($N$3:N406))),IF(COUNTIF($N$3:N406,"蛇")=0,10^9,LOOKUP(2,1/($N$3:N406="蛇"),ROW($N$3:N406))),IF(COUNTIF($N$3:N406,"马")=0,10^9,LOOKUP(2,1/($N$3:N406="马"),ROW($N$3:N406))),IF(COUNTIF($N$3:N406,"羊")=0,10^9,LOOKUP(2,1/($N$3:N406="羊"),ROW($N$3:N406))),IF(COUNTIF($N$3:N406,"猴")=0,10^9,LOOKUP(2,1/($N$3:N406="猴"),ROW($N$3:N406))),IF(COUNTIF($N$3:N406,"鸡")=0,10^9,LOOKUP(2,1/($N$3:N406="鸡"),ROW($N$3:N406))),IF(COUNTIF($N$3:N406,"狗")=0,10^9,LOOKUP(2,1/($N$3:N406="狗"),ROW($N$3:N406))),IF(COUNTIF($N$3:N406,"猪")=0,10^9,LOOKUP(2,1/($N$3:N406="猪"),ROW($N$3:N406))))-ROW($N$3)+1),""))),0,IF(ISNUMBER(J406),J406+1,1)))</f>
        <v/>
      </c>
      <c r="K407" s="5" t="e">
        <f t="shared" si="42"/>
        <v>#N/A</v>
      </c>
      <c r="M407" s="6" t="str">
        <f t="shared" si="38"/>
        <v/>
      </c>
      <c r="N407" s="2" t="e">
        <f t="shared" si="39"/>
        <v>#N/A</v>
      </c>
      <c r="O407" s="7" t="str">
        <f>IF(M407="","",IF(COUNTIF(M408:$M$1000,M407)&gt;0,"",M407))</f>
        <v/>
      </c>
      <c r="P407" s="8" t="e">
        <f>IF(N407="","",IF(COUNTIF(N408:$N$1000,N407)&gt;0,"",N407))</f>
        <v>#N/A</v>
      </c>
      <c r="Q407" s="21" t="e">
        <f t="shared" si="40"/>
        <v>#NUM!</v>
      </c>
      <c r="R407" s="22" t="e">
        <f t="shared" si="41"/>
        <v>#NUM!</v>
      </c>
      <c r="S407" s="11"/>
      <c r="T407" s="11"/>
      <c r="U407" s="11"/>
      <c r="W407" s="11"/>
      <c r="X407" s="2"/>
      <c r="Y407" s="2"/>
    </row>
    <row r="408" s="1" customFormat="1" spans="1:25">
      <c r="A408" s="2">
        <v>115057043</v>
      </c>
      <c r="B408" s="2"/>
      <c r="C408" s="2"/>
      <c r="D408" s="2"/>
      <c r="E408" s="2"/>
      <c r="F408" s="2"/>
      <c r="G408" s="2"/>
      <c r="H408" s="3"/>
      <c r="I408" s="2" t="e">
        <f t="shared" si="37"/>
        <v>#N/A</v>
      </c>
      <c r="J408" s="4" t="str">
        <f>IF(H408="","",IF(OR(AND(M408&lt;&gt;"",M408=IFERROR(INDEX($M$3:M407,MIN(IF(COUNTIF($M$3:M407,"0")=0,10^9,LOOKUP(2,1/($M$3:M407="0"),ROW($M$3:M407))),IF(COUNTIF($M$3:M407,"1")=0,10^9,LOOKUP(2,1/($M$3:M407="1"),ROW($M$3:M407))),IF(COUNTIF($M$3:M407,"2")=0,10^9,LOOKUP(2,1/($M$3:M407="2"),ROW($M$3:M407))),IF(COUNTIF($M$3:M407,"3")=0,10^9,LOOKUP(2,1/($M$3:M407="3"),ROW($M$3:M407))),IF(COUNTIF($M$3:M407,"4")=0,10^9,LOOKUP(2,1/($M$3:M407="4"),ROW($M$3:M407))),IF(COUNTIF($M$3:M407,"5")=0,10^9,LOOKUP(2,1/($M$3:M407="5"),ROW($M$3:M407))),IF(COUNTIF($M$3:M407,"6")=0,10^9,LOOKUP(2,1/($M$3:M407="6"),ROW($M$3:M407))),IF(COUNTIF($M$3:M407,"7")=0,10^9,LOOKUP(2,1/($M$3:M407="7"),ROW($M$3:M407))),IF(COUNTIF($M$3:M407,"8")=0,10^9,LOOKUP(2,1/($M$3:M407="8"),ROW($M$3:M407))),IF(COUNTIF($M$3:M407,"9")=0,10^9,LOOKUP(2,1/($M$3:M407="9"),ROW($M$3:M407))))-ROW($M$3)+1),"")),AND(N408&lt;&gt;"",N408=IFERROR(INDEX($N$3:N407,MIN(IF(COUNTIF($N$3:N407,"鼠")=0,10^9,LOOKUP(2,1/($N$3:N407="鼠"),ROW($N$3:N407))),IF(COUNTIF($N$3:N407,"牛")=0,10^9,LOOKUP(2,1/($N$3:N407="牛"),ROW($N$3:N407))),IF(COUNTIF($N$3:N407,"虎")=0,10^9,LOOKUP(2,1/($N$3:N407="虎"),ROW($N$3:N407))),IF(COUNTIF($N$3:N407,"兔")=0,10^9,LOOKUP(2,1/($N$3:N407="兔"),ROW($N$3:N407))),IF(COUNTIF($N$3:N407,"龙")=0,10^9,LOOKUP(2,1/($N$3:N407="龙"),ROW($N$3:N407))),IF(COUNTIF($N$3:N407,"蛇")=0,10^9,LOOKUP(2,1/($N$3:N407="蛇"),ROW($N$3:N407))),IF(COUNTIF($N$3:N407,"马")=0,10^9,LOOKUP(2,1/($N$3:N407="马"),ROW($N$3:N407))),IF(COUNTIF($N$3:N407,"羊")=0,10^9,LOOKUP(2,1/($N$3:N407="羊"),ROW($N$3:N407))),IF(COUNTIF($N$3:N407,"猴")=0,10^9,LOOKUP(2,1/($N$3:N407="猴"),ROW($N$3:N407))),IF(COUNTIF($N$3:N407,"鸡")=0,10^9,LOOKUP(2,1/($N$3:N407="鸡"),ROW($N$3:N407))),IF(COUNTIF($N$3:N407,"狗")=0,10^9,LOOKUP(2,1/($N$3:N407="狗"),ROW($N$3:N407))),IF(COUNTIF($N$3:N407,"猪")=0,10^9,LOOKUP(2,1/($N$3:N407="猪"),ROW($N$3:N407))))-ROW($N$3)+1),""))),0,IF(ISNUMBER(J407),J407+1,1)))</f>
        <v/>
      </c>
      <c r="K408" s="5" t="e">
        <f t="shared" si="42"/>
        <v>#N/A</v>
      </c>
      <c r="M408" s="6" t="str">
        <f t="shared" si="38"/>
        <v/>
      </c>
      <c r="N408" s="2" t="e">
        <f t="shared" si="39"/>
        <v>#N/A</v>
      </c>
      <c r="O408" s="7" t="str">
        <f>IF(M408="","",IF(COUNTIF(M409:$M$1000,M408)&gt;0,"",M408))</f>
        <v/>
      </c>
      <c r="P408" s="8" t="e">
        <f>IF(N408="","",IF(COUNTIF(N409:$N$1000,N408)&gt;0,"",N408))</f>
        <v>#N/A</v>
      </c>
      <c r="Q408" s="21" t="e">
        <f t="shared" si="40"/>
        <v>#NUM!</v>
      </c>
      <c r="R408" s="22" t="e">
        <f t="shared" si="41"/>
        <v>#NUM!</v>
      </c>
      <c r="S408" s="11"/>
      <c r="T408" s="11"/>
      <c r="U408" s="11"/>
      <c r="W408" s="11"/>
      <c r="X408" s="2"/>
      <c r="Y408" s="2"/>
    </row>
    <row r="409" s="1" customFormat="1" spans="1:25">
      <c r="A409" s="2">
        <v>115057044</v>
      </c>
      <c r="B409" s="2"/>
      <c r="C409" s="2"/>
      <c r="D409" s="2"/>
      <c r="E409" s="2"/>
      <c r="F409" s="2"/>
      <c r="G409" s="2"/>
      <c r="H409" s="3"/>
      <c r="I409" s="2" t="e">
        <f t="shared" si="37"/>
        <v>#N/A</v>
      </c>
      <c r="J409" s="4" t="str">
        <f>IF(H409="","",IF(OR(AND(M409&lt;&gt;"",M409=IFERROR(INDEX($M$3:M408,MIN(IF(COUNTIF($M$3:M408,"0")=0,10^9,LOOKUP(2,1/($M$3:M408="0"),ROW($M$3:M408))),IF(COUNTIF($M$3:M408,"1")=0,10^9,LOOKUP(2,1/($M$3:M408="1"),ROW($M$3:M408))),IF(COUNTIF($M$3:M408,"2")=0,10^9,LOOKUP(2,1/($M$3:M408="2"),ROW($M$3:M408))),IF(COUNTIF($M$3:M408,"3")=0,10^9,LOOKUP(2,1/($M$3:M408="3"),ROW($M$3:M408))),IF(COUNTIF($M$3:M408,"4")=0,10^9,LOOKUP(2,1/($M$3:M408="4"),ROW($M$3:M408))),IF(COUNTIF($M$3:M408,"5")=0,10^9,LOOKUP(2,1/($M$3:M408="5"),ROW($M$3:M408))),IF(COUNTIF($M$3:M408,"6")=0,10^9,LOOKUP(2,1/($M$3:M408="6"),ROW($M$3:M408))),IF(COUNTIF($M$3:M408,"7")=0,10^9,LOOKUP(2,1/($M$3:M408="7"),ROW($M$3:M408))),IF(COUNTIF($M$3:M408,"8")=0,10^9,LOOKUP(2,1/($M$3:M408="8"),ROW($M$3:M408))),IF(COUNTIF($M$3:M408,"9")=0,10^9,LOOKUP(2,1/($M$3:M408="9"),ROW($M$3:M408))))-ROW($M$3)+1),"")),AND(N409&lt;&gt;"",N409=IFERROR(INDEX($N$3:N408,MIN(IF(COUNTIF($N$3:N408,"鼠")=0,10^9,LOOKUP(2,1/($N$3:N408="鼠"),ROW($N$3:N408))),IF(COUNTIF($N$3:N408,"牛")=0,10^9,LOOKUP(2,1/($N$3:N408="牛"),ROW($N$3:N408))),IF(COUNTIF($N$3:N408,"虎")=0,10^9,LOOKUP(2,1/($N$3:N408="虎"),ROW($N$3:N408))),IF(COUNTIF($N$3:N408,"兔")=0,10^9,LOOKUP(2,1/($N$3:N408="兔"),ROW($N$3:N408))),IF(COUNTIF($N$3:N408,"龙")=0,10^9,LOOKUP(2,1/($N$3:N408="龙"),ROW($N$3:N408))),IF(COUNTIF($N$3:N408,"蛇")=0,10^9,LOOKUP(2,1/($N$3:N408="蛇"),ROW($N$3:N408))),IF(COUNTIF($N$3:N408,"马")=0,10^9,LOOKUP(2,1/($N$3:N408="马"),ROW($N$3:N408))),IF(COUNTIF($N$3:N408,"羊")=0,10^9,LOOKUP(2,1/($N$3:N408="羊"),ROW($N$3:N408))),IF(COUNTIF($N$3:N408,"猴")=0,10^9,LOOKUP(2,1/($N$3:N408="猴"),ROW($N$3:N408))),IF(COUNTIF($N$3:N408,"鸡")=0,10^9,LOOKUP(2,1/($N$3:N408="鸡"),ROW($N$3:N408))),IF(COUNTIF($N$3:N408,"狗")=0,10^9,LOOKUP(2,1/($N$3:N408="狗"),ROW($N$3:N408))),IF(COUNTIF($N$3:N408,"猪")=0,10^9,LOOKUP(2,1/($N$3:N408="猪"),ROW($N$3:N408))))-ROW($N$3)+1),""))),0,IF(ISNUMBER(J408),J408+1,1)))</f>
        <v/>
      </c>
      <c r="K409" s="5" t="e">
        <f t="shared" si="42"/>
        <v>#N/A</v>
      </c>
      <c r="M409" s="6" t="str">
        <f t="shared" si="38"/>
        <v/>
      </c>
      <c r="N409" s="2" t="e">
        <f t="shared" si="39"/>
        <v>#N/A</v>
      </c>
      <c r="O409" s="7" t="str">
        <f>IF(M409="","",IF(COUNTIF(M410:$M$1000,M409)&gt;0,"",M409))</f>
        <v/>
      </c>
      <c r="P409" s="8" t="e">
        <f>IF(N409="","",IF(COUNTIF(N410:$N$1000,N409)&gt;0,"",N409))</f>
        <v>#N/A</v>
      </c>
      <c r="Q409" s="21" t="e">
        <f t="shared" si="40"/>
        <v>#NUM!</v>
      </c>
      <c r="R409" s="22" t="e">
        <f t="shared" si="41"/>
        <v>#NUM!</v>
      </c>
      <c r="S409" s="11"/>
      <c r="T409" s="11"/>
      <c r="U409" s="11"/>
      <c r="W409" s="11"/>
      <c r="X409" s="2"/>
      <c r="Y409" s="2"/>
    </row>
    <row r="410" s="1" customFormat="1" spans="1:25">
      <c r="A410" s="2">
        <v>115057045</v>
      </c>
      <c r="B410" s="2"/>
      <c r="C410" s="2"/>
      <c r="D410" s="2"/>
      <c r="E410" s="2"/>
      <c r="F410" s="2"/>
      <c r="G410" s="2"/>
      <c r="H410" s="3"/>
      <c r="I410" s="2" t="e">
        <f t="shared" si="37"/>
        <v>#N/A</v>
      </c>
      <c r="J410" s="4" t="str">
        <f>IF(H410="","",IF(OR(AND(M410&lt;&gt;"",M410=IFERROR(INDEX($M$3:M409,MIN(IF(COUNTIF($M$3:M409,"0")=0,10^9,LOOKUP(2,1/($M$3:M409="0"),ROW($M$3:M409))),IF(COUNTIF($M$3:M409,"1")=0,10^9,LOOKUP(2,1/($M$3:M409="1"),ROW($M$3:M409))),IF(COUNTIF($M$3:M409,"2")=0,10^9,LOOKUP(2,1/($M$3:M409="2"),ROW($M$3:M409))),IF(COUNTIF($M$3:M409,"3")=0,10^9,LOOKUP(2,1/($M$3:M409="3"),ROW($M$3:M409))),IF(COUNTIF($M$3:M409,"4")=0,10^9,LOOKUP(2,1/($M$3:M409="4"),ROW($M$3:M409))),IF(COUNTIF($M$3:M409,"5")=0,10^9,LOOKUP(2,1/($M$3:M409="5"),ROW($M$3:M409))),IF(COUNTIF($M$3:M409,"6")=0,10^9,LOOKUP(2,1/($M$3:M409="6"),ROW($M$3:M409))),IF(COUNTIF($M$3:M409,"7")=0,10^9,LOOKUP(2,1/($M$3:M409="7"),ROW($M$3:M409))),IF(COUNTIF($M$3:M409,"8")=0,10^9,LOOKUP(2,1/($M$3:M409="8"),ROW($M$3:M409))),IF(COUNTIF($M$3:M409,"9")=0,10^9,LOOKUP(2,1/($M$3:M409="9"),ROW($M$3:M409))))-ROW($M$3)+1),"")),AND(N410&lt;&gt;"",N410=IFERROR(INDEX($N$3:N409,MIN(IF(COUNTIF($N$3:N409,"鼠")=0,10^9,LOOKUP(2,1/($N$3:N409="鼠"),ROW($N$3:N409))),IF(COUNTIF($N$3:N409,"牛")=0,10^9,LOOKUP(2,1/($N$3:N409="牛"),ROW($N$3:N409))),IF(COUNTIF($N$3:N409,"虎")=0,10^9,LOOKUP(2,1/($N$3:N409="虎"),ROW($N$3:N409))),IF(COUNTIF($N$3:N409,"兔")=0,10^9,LOOKUP(2,1/($N$3:N409="兔"),ROW($N$3:N409))),IF(COUNTIF($N$3:N409,"龙")=0,10^9,LOOKUP(2,1/($N$3:N409="龙"),ROW($N$3:N409))),IF(COUNTIF($N$3:N409,"蛇")=0,10^9,LOOKUP(2,1/($N$3:N409="蛇"),ROW($N$3:N409))),IF(COUNTIF($N$3:N409,"马")=0,10^9,LOOKUP(2,1/($N$3:N409="马"),ROW($N$3:N409))),IF(COUNTIF($N$3:N409,"羊")=0,10^9,LOOKUP(2,1/($N$3:N409="羊"),ROW($N$3:N409))),IF(COUNTIF($N$3:N409,"猴")=0,10^9,LOOKUP(2,1/($N$3:N409="猴"),ROW($N$3:N409))),IF(COUNTIF($N$3:N409,"鸡")=0,10^9,LOOKUP(2,1/($N$3:N409="鸡"),ROW($N$3:N409))),IF(COUNTIF($N$3:N409,"狗")=0,10^9,LOOKUP(2,1/($N$3:N409="狗"),ROW($N$3:N409))),IF(COUNTIF($N$3:N409,"猪")=0,10^9,LOOKUP(2,1/($N$3:N409="猪"),ROW($N$3:N409))))-ROW($N$3)+1),""))),0,IF(ISNUMBER(J409),J409+1,1)))</f>
        <v/>
      </c>
      <c r="K410" s="5" t="e">
        <f t="shared" si="42"/>
        <v>#N/A</v>
      </c>
      <c r="M410" s="6" t="str">
        <f t="shared" si="38"/>
        <v/>
      </c>
      <c r="N410" s="2" t="e">
        <f t="shared" si="39"/>
        <v>#N/A</v>
      </c>
      <c r="O410" s="7" t="str">
        <f>IF(M410="","",IF(COUNTIF(M411:$M$1000,M410)&gt;0,"",M410))</f>
        <v/>
      </c>
      <c r="P410" s="8" t="e">
        <f>IF(N410="","",IF(COUNTIF(N411:$N$1000,N410)&gt;0,"",N410))</f>
        <v>#N/A</v>
      </c>
      <c r="Q410" s="21" t="e">
        <f t="shared" si="40"/>
        <v>#NUM!</v>
      </c>
      <c r="R410" s="22" t="e">
        <f t="shared" si="41"/>
        <v>#NUM!</v>
      </c>
      <c r="S410" s="11"/>
      <c r="T410" s="11"/>
      <c r="U410" s="11"/>
      <c r="W410" s="11"/>
      <c r="X410" s="2"/>
      <c r="Y410" s="2"/>
    </row>
    <row r="411" s="1" customFormat="1" spans="1:25">
      <c r="A411" s="2">
        <v>115057046</v>
      </c>
      <c r="B411" s="2"/>
      <c r="C411" s="2"/>
      <c r="D411" s="2"/>
      <c r="E411" s="2"/>
      <c r="F411" s="2"/>
      <c r="G411" s="2"/>
      <c r="H411" s="3"/>
      <c r="I411" s="2" t="e">
        <f t="shared" si="37"/>
        <v>#N/A</v>
      </c>
      <c r="J411" s="4" t="str">
        <f>IF(H411="","",IF(OR(AND(M411&lt;&gt;"",M411=IFERROR(INDEX($M$3:M410,MIN(IF(COUNTIF($M$3:M410,"0")=0,10^9,LOOKUP(2,1/($M$3:M410="0"),ROW($M$3:M410))),IF(COUNTIF($M$3:M410,"1")=0,10^9,LOOKUP(2,1/($M$3:M410="1"),ROW($M$3:M410))),IF(COUNTIF($M$3:M410,"2")=0,10^9,LOOKUP(2,1/($M$3:M410="2"),ROW($M$3:M410))),IF(COUNTIF($M$3:M410,"3")=0,10^9,LOOKUP(2,1/($M$3:M410="3"),ROW($M$3:M410))),IF(COUNTIF($M$3:M410,"4")=0,10^9,LOOKUP(2,1/($M$3:M410="4"),ROW($M$3:M410))),IF(COUNTIF($M$3:M410,"5")=0,10^9,LOOKUP(2,1/($M$3:M410="5"),ROW($M$3:M410))),IF(COUNTIF($M$3:M410,"6")=0,10^9,LOOKUP(2,1/($M$3:M410="6"),ROW($M$3:M410))),IF(COUNTIF($M$3:M410,"7")=0,10^9,LOOKUP(2,1/($M$3:M410="7"),ROW($M$3:M410))),IF(COUNTIF($M$3:M410,"8")=0,10^9,LOOKUP(2,1/($M$3:M410="8"),ROW($M$3:M410))),IF(COUNTIF($M$3:M410,"9")=0,10^9,LOOKUP(2,1/($M$3:M410="9"),ROW($M$3:M410))))-ROW($M$3)+1),"")),AND(N411&lt;&gt;"",N411=IFERROR(INDEX($N$3:N410,MIN(IF(COUNTIF($N$3:N410,"鼠")=0,10^9,LOOKUP(2,1/($N$3:N410="鼠"),ROW($N$3:N410))),IF(COUNTIF($N$3:N410,"牛")=0,10^9,LOOKUP(2,1/($N$3:N410="牛"),ROW($N$3:N410))),IF(COUNTIF($N$3:N410,"虎")=0,10^9,LOOKUP(2,1/($N$3:N410="虎"),ROW($N$3:N410))),IF(COUNTIF($N$3:N410,"兔")=0,10^9,LOOKUP(2,1/($N$3:N410="兔"),ROW($N$3:N410))),IF(COUNTIF($N$3:N410,"龙")=0,10^9,LOOKUP(2,1/($N$3:N410="龙"),ROW($N$3:N410))),IF(COUNTIF($N$3:N410,"蛇")=0,10^9,LOOKUP(2,1/($N$3:N410="蛇"),ROW($N$3:N410))),IF(COUNTIF($N$3:N410,"马")=0,10^9,LOOKUP(2,1/($N$3:N410="马"),ROW($N$3:N410))),IF(COUNTIF($N$3:N410,"羊")=0,10^9,LOOKUP(2,1/($N$3:N410="羊"),ROW($N$3:N410))),IF(COUNTIF($N$3:N410,"猴")=0,10^9,LOOKUP(2,1/($N$3:N410="猴"),ROW($N$3:N410))),IF(COUNTIF($N$3:N410,"鸡")=0,10^9,LOOKUP(2,1/($N$3:N410="鸡"),ROW($N$3:N410))),IF(COUNTIF($N$3:N410,"狗")=0,10^9,LOOKUP(2,1/($N$3:N410="狗"),ROW($N$3:N410))),IF(COUNTIF($N$3:N410,"猪")=0,10^9,LOOKUP(2,1/($N$3:N410="猪"),ROW($N$3:N410))))-ROW($N$3)+1),""))),0,IF(ISNUMBER(J410),J410+1,1)))</f>
        <v/>
      </c>
      <c r="K411" s="5" t="e">
        <f t="shared" si="42"/>
        <v>#N/A</v>
      </c>
      <c r="M411" s="6" t="str">
        <f t="shared" si="38"/>
        <v/>
      </c>
      <c r="N411" s="2" t="e">
        <f t="shared" si="39"/>
        <v>#N/A</v>
      </c>
      <c r="O411" s="7" t="str">
        <f>IF(M411="","",IF(COUNTIF(M412:$M$1000,M411)&gt;0,"",M411))</f>
        <v/>
      </c>
      <c r="P411" s="8" t="e">
        <f>IF(N411="","",IF(COUNTIF(N412:$N$1000,N411)&gt;0,"",N411))</f>
        <v>#N/A</v>
      </c>
      <c r="Q411" s="21" t="e">
        <f t="shared" si="40"/>
        <v>#NUM!</v>
      </c>
      <c r="R411" s="22" t="e">
        <f t="shared" si="41"/>
        <v>#NUM!</v>
      </c>
      <c r="S411" s="11"/>
      <c r="T411" s="11"/>
      <c r="U411" s="11"/>
      <c r="W411" s="11"/>
      <c r="X411" s="2"/>
      <c r="Y411" s="2"/>
    </row>
    <row r="412" s="1" customFormat="1" spans="1:25">
      <c r="A412" s="2">
        <v>115057047</v>
      </c>
      <c r="B412" s="2"/>
      <c r="C412" s="2"/>
      <c r="D412" s="2"/>
      <c r="E412" s="2"/>
      <c r="F412" s="2"/>
      <c r="G412" s="2"/>
      <c r="H412" s="3"/>
      <c r="I412" s="2" t="e">
        <f t="shared" si="37"/>
        <v>#N/A</v>
      </c>
      <c r="J412" s="4" t="str">
        <f>IF(H412="","",IF(OR(AND(M412&lt;&gt;"",M412=IFERROR(INDEX($M$3:M411,MIN(IF(COUNTIF($M$3:M411,"0")=0,10^9,LOOKUP(2,1/($M$3:M411="0"),ROW($M$3:M411))),IF(COUNTIF($M$3:M411,"1")=0,10^9,LOOKUP(2,1/($M$3:M411="1"),ROW($M$3:M411))),IF(COUNTIF($M$3:M411,"2")=0,10^9,LOOKUP(2,1/($M$3:M411="2"),ROW($M$3:M411))),IF(COUNTIF($M$3:M411,"3")=0,10^9,LOOKUP(2,1/($M$3:M411="3"),ROW($M$3:M411))),IF(COUNTIF($M$3:M411,"4")=0,10^9,LOOKUP(2,1/($M$3:M411="4"),ROW($M$3:M411))),IF(COUNTIF($M$3:M411,"5")=0,10^9,LOOKUP(2,1/($M$3:M411="5"),ROW($M$3:M411))),IF(COUNTIF($M$3:M411,"6")=0,10^9,LOOKUP(2,1/($M$3:M411="6"),ROW($M$3:M411))),IF(COUNTIF($M$3:M411,"7")=0,10^9,LOOKUP(2,1/($M$3:M411="7"),ROW($M$3:M411))),IF(COUNTIF($M$3:M411,"8")=0,10^9,LOOKUP(2,1/($M$3:M411="8"),ROW($M$3:M411))),IF(COUNTIF($M$3:M411,"9")=0,10^9,LOOKUP(2,1/($M$3:M411="9"),ROW($M$3:M411))))-ROW($M$3)+1),"")),AND(N412&lt;&gt;"",N412=IFERROR(INDEX($N$3:N411,MIN(IF(COUNTIF($N$3:N411,"鼠")=0,10^9,LOOKUP(2,1/($N$3:N411="鼠"),ROW($N$3:N411))),IF(COUNTIF($N$3:N411,"牛")=0,10^9,LOOKUP(2,1/($N$3:N411="牛"),ROW($N$3:N411))),IF(COUNTIF($N$3:N411,"虎")=0,10^9,LOOKUP(2,1/($N$3:N411="虎"),ROW($N$3:N411))),IF(COUNTIF($N$3:N411,"兔")=0,10^9,LOOKUP(2,1/($N$3:N411="兔"),ROW($N$3:N411))),IF(COUNTIF($N$3:N411,"龙")=0,10^9,LOOKUP(2,1/($N$3:N411="龙"),ROW($N$3:N411))),IF(COUNTIF($N$3:N411,"蛇")=0,10^9,LOOKUP(2,1/($N$3:N411="蛇"),ROW($N$3:N411))),IF(COUNTIF($N$3:N411,"马")=0,10^9,LOOKUP(2,1/($N$3:N411="马"),ROW($N$3:N411))),IF(COUNTIF($N$3:N411,"羊")=0,10^9,LOOKUP(2,1/($N$3:N411="羊"),ROW($N$3:N411))),IF(COUNTIF($N$3:N411,"猴")=0,10^9,LOOKUP(2,1/($N$3:N411="猴"),ROW($N$3:N411))),IF(COUNTIF($N$3:N411,"鸡")=0,10^9,LOOKUP(2,1/($N$3:N411="鸡"),ROW($N$3:N411))),IF(COUNTIF($N$3:N411,"狗")=0,10^9,LOOKUP(2,1/($N$3:N411="狗"),ROW($N$3:N411))),IF(COUNTIF($N$3:N411,"猪")=0,10^9,LOOKUP(2,1/($N$3:N411="猪"),ROW($N$3:N411))))-ROW($N$3)+1),""))),0,IF(ISNUMBER(J411),J411+1,1)))</f>
        <v/>
      </c>
      <c r="K412" s="5" t="e">
        <f t="shared" si="42"/>
        <v>#N/A</v>
      </c>
      <c r="M412" s="6" t="str">
        <f t="shared" si="38"/>
        <v/>
      </c>
      <c r="N412" s="2" t="e">
        <f t="shared" si="39"/>
        <v>#N/A</v>
      </c>
      <c r="O412" s="7" t="str">
        <f>IF(M412="","",IF(COUNTIF(M413:$M$1000,M412)&gt;0,"",M412))</f>
        <v/>
      </c>
      <c r="P412" s="8" t="e">
        <f>IF(N412="","",IF(COUNTIF(N413:$N$1000,N412)&gt;0,"",N412))</f>
        <v>#N/A</v>
      </c>
      <c r="Q412" s="21" t="e">
        <f t="shared" si="40"/>
        <v>#NUM!</v>
      </c>
      <c r="R412" s="22" t="e">
        <f t="shared" si="41"/>
        <v>#NUM!</v>
      </c>
      <c r="S412" s="11"/>
      <c r="T412" s="11"/>
      <c r="U412" s="11"/>
      <c r="W412" s="11"/>
      <c r="X412" s="2"/>
      <c r="Y412" s="2"/>
    </row>
    <row r="413" s="1" customFormat="1" spans="1:25">
      <c r="A413" s="2">
        <v>115057048</v>
      </c>
      <c r="B413" s="2"/>
      <c r="C413" s="2"/>
      <c r="D413" s="2"/>
      <c r="E413" s="2"/>
      <c r="F413" s="2"/>
      <c r="G413" s="2"/>
      <c r="H413" s="3"/>
      <c r="I413" s="2" t="e">
        <f t="shared" si="37"/>
        <v>#N/A</v>
      </c>
      <c r="J413" s="4" t="str">
        <f>IF(H413="","",IF(OR(AND(M413&lt;&gt;"",M413=IFERROR(INDEX($M$3:M412,MIN(IF(COUNTIF($M$3:M412,"0")=0,10^9,LOOKUP(2,1/($M$3:M412="0"),ROW($M$3:M412))),IF(COUNTIF($M$3:M412,"1")=0,10^9,LOOKUP(2,1/($M$3:M412="1"),ROW($M$3:M412))),IF(COUNTIF($M$3:M412,"2")=0,10^9,LOOKUP(2,1/($M$3:M412="2"),ROW($M$3:M412))),IF(COUNTIF($M$3:M412,"3")=0,10^9,LOOKUP(2,1/($M$3:M412="3"),ROW($M$3:M412))),IF(COUNTIF($M$3:M412,"4")=0,10^9,LOOKUP(2,1/($M$3:M412="4"),ROW($M$3:M412))),IF(COUNTIF($M$3:M412,"5")=0,10^9,LOOKUP(2,1/($M$3:M412="5"),ROW($M$3:M412))),IF(COUNTIF($M$3:M412,"6")=0,10^9,LOOKUP(2,1/($M$3:M412="6"),ROW($M$3:M412))),IF(COUNTIF($M$3:M412,"7")=0,10^9,LOOKUP(2,1/($M$3:M412="7"),ROW($M$3:M412))),IF(COUNTIF($M$3:M412,"8")=0,10^9,LOOKUP(2,1/($M$3:M412="8"),ROW($M$3:M412))),IF(COUNTIF($M$3:M412,"9")=0,10^9,LOOKUP(2,1/($M$3:M412="9"),ROW($M$3:M412))))-ROW($M$3)+1),"")),AND(N413&lt;&gt;"",N413=IFERROR(INDEX($N$3:N412,MIN(IF(COUNTIF($N$3:N412,"鼠")=0,10^9,LOOKUP(2,1/($N$3:N412="鼠"),ROW($N$3:N412))),IF(COUNTIF($N$3:N412,"牛")=0,10^9,LOOKUP(2,1/($N$3:N412="牛"),ROW($N$3:N412))),IF(COUNTIF($N$3:N412,"虎")=0,10^9,LOOKUP(2,1/($N$3:N412="虎"),ROW($N$3:N412))),IF(COUNTIF($N$3:N412,"兔")=0,10^9,LOOKUP(2,1/($N$3:N412="兔"),ROW($N$3:N412))),IF(COUNTIF($N$3:N412,"龙")=0,10^9,LOOKUP(2,1/($N$3:N412="龙"),ROW($N$3:N412))),IF(COUNTIF($N$3:N412,"蛇")=0,10^9,LOOKUP(2,1/($N$3:N412="蛇"),ROW($N$3:N412))),IF(COUNTIF($N$3:N412,"马")=0,10^9,LOOKUP(2,1/($N$3:N412="马"),ROW($N$3:N412))),IF(COUNTIF($N$3:N412,"羊")=0,10^9,LOOKUP(2,1/($N$3:N412="羊"),ROW($N$3:N412))),IF(COUNTIF($N$3:N412,"猴")=0,10^9,LOOKUP(2,1/($N$3:N412="猴"),ROW($N$3:N412))),IF(COUNTIF($N$3:N412,"鸡")=0,10^9,LOOKUP(2,1/($N$3:N412="鸡"),ROW($N$3:N412))),IF(COUNTIF($N$3:N412,"狗")=0,10^9,LOOKUP(2,1/($N$3:N412="狗"),ROW($N$3:N412))),IF(COUNTIF($N$3:N412,"猪")=0,10^9,LOOKUP(2,1/($N$3:N412="猪"),ROW($N$3:N412))))-ROW($N$3)+1),""))),0,IF(ISNUMBER(J412),J412+1,1)))</f>
        <v/>
      </c>
      <c r="K413" s="5" t="e">
        <f t="shared" si="42"/>
        <v>#N/A</v>
      </c>
      <c r="M413" s="6" t="str">
        <f t="shared" si="38"/>
        <v/>
      </c>
      <c r="N413" s="2" t="e">
        <f t="shared" si="39"/>
        <v>#N/A</v>
      </c>
      <c r="O413" s="7" t="str">
        <f>IF(M413="","",IF(COUNTIF(M414:$M$1000,M413)&gt;0,"",M413))</f>
        <v/>
      </c>
      <c r="P413" s="8" t="e">
        <f>IF(N413="","",IF(COUNTIF(N414:$N$1000,N413)&gt;0,"",N413))</f>
        <v>#N/A</v>
      </c>
      <c r="Q413" s="21" t="e">
        <f t="shared" si="40"/>
        <v>#NUM!</v>
      </c>
      <c r="R413" s="22" t="e">
        <f t="shared" si="41"/>
        <v>#NUM!</v>
      </c>
      <c r="S413" s="11"/>
      <c r="T413" s="11"/>
      <c r="U413" s="11"/>
      <c r="W413" s="11"/>
      <c r="X413" s="2"/>
      <c r="Y413" s="2"/>
    </row>
    <row r="414" s="1" customFormat="1" spans="1:25">
      <c r="A414" s="2">
        <v>115057049</v>
      </c>
      <c r="B414" s="2"/>
      <c r="C414" s="2"/>
      <c r="D414" s="2"/>
      <c r="E414" s="2"/>
      <c r="F414" s="2"/>
      <c r="G414" s="2"/>
      <c r="H414" s="3"/>
      <c r="I414" s="2" t="e">
        <f t="shared" si="37"/>
        <v>#N/A</v>
      </c>
      <c r="J414" s="4" t="str">
        <f>IF(H414="","",IF(OR(AND(M414&lt;&gt;"",M414=IFERROR(INDEX($M$3:M413,MIN(IF(COUNTIF($M$3:M413,"0")=0,10^9,LOOKUP(2,1/($M$3:M413="0"),ROW($M$3:M413))),IF(COUNTIF($M$3:M413,"1")=0,10^9,LOOKUP(2,1/($M$3:M413="1"),ROW($M$3:M413))),IF(COUNTIF($M$3:M413,"2")=0,10^9,LOOKUP(2,1/($M$3:M413="2"),ROW($M$3:M413))),IF(COUNTIF($M$3:M413,"3")=0,10^9,LOOKUP(2,1/($M$3:M413="3"),ROW($M$3:M413))),IF(COUNTIF($M$3:M413,"4")=0,10^9,LOOKUP(2,1/($M$3:M413="4"),ROW($M$3:M413))),IF(COUNTIF($M$3:M413,"5")=0,10^9,LOOKUP(2,1/($M$3:M413="5"),ROW($M$3:M413))),IF(COUNTIF($M$3:M413,"6")=0,10^9,LOOKUP(2,1/($M$3:M413="6"),ROW($M$3:M413))),IF(COUNTIF($M$3:M413,"7")=0,10^9,LOOKUP(2,1/($M$3:M413="7"),ROW($M$3:M413))),IF(COUNTIF($M$3:M413,"8")=0,10^9,LOOKUP(2,1/($M$3:M413="8"),ROW($M$3:M413))),IF(COUNTIF($M$3:M413,"9")=0,10^9,LOOKUP(2,1/($M$3:M413="9"),ROW($M$3:M413))))-ROW($M$3)+1),"")),AND(N414&lt;&gt;"",N414=IFERROR(INDEX($N$3:N413,MIN(IF(COUNTIF($N$3:N413,"鼠")=0,10^9,LOOKUP(2,1/($N$3:N413="鼠"),ROW($N$3:N413))),IF(COUNTIF($N$3:N413,"牛")=0,10^9,LOOKUP(2,1/($N$3:N413="牛"),ROW($N$3:N413))),IF(COUNTIF($N$3:N413,"虎")=0,10^9,LOOKUP(2,1/($N$3:N413="虎"),ROW($N$3:N413))),IF(COUNTIF($N$3:N413,"兔")=0,10^9,LOOKUP(2,1/($N$3:N413="兔"),ROW($N$3:N413))),IF(COUNTIF($N$3:N413,"龙")=0,10^9,LOOKUP(2,1/($N$3:N413="龙"),ROW($N$3:N413))),IF(COUNTIF($N$3:N413,"蛇")=0,10^9,LOOKUP(2,1/($N$3:N413="蛇"),ROW($N$3:N413))),IF(COUNTIF($N$3:N413,"马")=0,10^9,LOOKUP(2,1/($N$3:N413="马"),ROW($N$3:N413))),IF(COUNTIF($N$3:N413,"羊")=0,10^9,LOOKUP(2,1/($N$3:N413="羊"),ROW($N$3:N413))),IF(COUNTIF($N$3:N413,"猴")=0,10^9,LOOKUP(2,1/($N$3:N413="猴"),ROW($N$3:N413))),IF(COUNTIF($N$3:N413,"鸡")=0,10^9,LOOKUP(2,1/($N$3:N413="鸡"),ROW($N$3:N413))),IF(COUNTIF($N$3:N413,"狗")=0,10^9,LOOKUP(2,1/($N$3:N413="狗"),ROW($N$3:N413))),IF(COUNTIF($N$3:N413,"猪")=0,10^9,LOOKUP(2,1/($N$3:N413="猪"),ROW($N$3:N413))))-ROW($N$3)+1),""))),0,IF(ISNUMBER(J413),J413+1,1)))</f>
        <v/>
      </c>
      <c r="K414" s="5" t="e">
        <f t="shared" si="42"/>
        <v>#N/A</v>
      </c>
      <c r="M414" s="6" t="str">
        <f t="shared" si="38"/>
        <v/>
      </c>
      <c r="N414" s="2" t="e">
        <f t="shared" si="39"/>
        <v>#N/A</v>
      </c>
      <c r="O414" s="7" t="str">
        <f>IF(M414="","",IF(COUNTIF(M415:$M$1000,M414)&gt;0,"",M414))</f>
        <v/>
      </c>
      <c r="P414" s="8" t="e">
        <f>IF(N414="","",IF(COUNTIF(N415:$N$1000,N414)&gt;0,"",N414))</f>
        <v>#N/A</v>
      </c>
      <c r="Q414" s="21" t="e">
        <f t="shared" si="40"/>
        <v>#NUM!</v>
      </c>
      <c r="R414" s="22" t="e">
        <f t="shared" si="41"/>
        <v>#NUM!</v>
      </c>
      <c r="S414" s="11"/>
      <c r="T414" s="11"/>
      <c r="U414" s="11"/>
      <c r="W414" s="11"/>
      <c r="X414" s="2"/>
      <c r="Y414" s="2"/>
    </row>
    <row r="415" s="1" customFormat="1" spans="1:25">
      <c r="A415" s="2">
        <v>115057050</v>
      </c>
      <c r="B415" s="2"/>
      <c r="C415" s="2"/>
      <c r="D415" s="2"/>
      <c r="E415" s="2"/>
      <c r="F415" s="2"/>
      <c r="G415" s="2"/>
      <c r="H415" s="3"/>
      <c r="I415" s="2" t="e">
        <f t="shared" si="37"/>
        <v>#N/A</v>
      </c>
      <c r="J415" s="4" t="str">
        <f>IF(H415="","",IF(OR(AND(M415&lt;&gt;"",M415=IFERROR(INDEX($M$3:M414,MIN(IF(COUNTIF($M$3:M414,"0")=0,10^9,LOOKUP(2,1/($M$3:M414="0"),ROW($M$3:M414))),IF(COUNTIF($M$3:M414,"1")=0,10^9,LOOKUP(2,1/($M$3:M414="1"),ROW($M$3:M414))),IF(COUNTIF($M$3:M414,"2")=0,10^9,LOOKUP(2,1/($M$3:M414="2"),ROW($M$3:M414))),IF(COUNTIF($M$3:M414,"3")=0,10^9,LOOKUP(2,1/($M$3:M414="3"),ROW($M$3:M414))),IF(COUNTIF($M$3:M414,"4")=0,10^9,LOOKUP(2,1/($M$3:M414="4"),ROW($M$3:M414))),IF(COUNTIF($M$3:M414,"5")=0,10^9,LOOKUP(2,1/($M$3:M414="5"),ROW($M$3:M414))),IF(COUNTIF($M$3:M414,"6")=0,10^9,LOOKUP(2,1/($M$3:M414="6"),ROW($M$3:M414))),IF(COUNTIF($M$3:M414,"7")=0,10^9,LOOKUP(2,1/($M$3:M414="7"),ROW($M$3:M414))),IF(COUNTIF($M$3:M414,"8")=0,10^9,LOOKUP(2,1/($M$3:M414="8"),ROW($M$3:M414))),IF(COUNTIF($M$3:M414,"9")=0,10^9,LOOKUP(2,1/($M$3:M414="9"),ROW($M$3:M414))))-ROW($M$3)+1),"")),AND(N415&lt;&gt;"",N415=IFERROR(INDEX($N$3:N414,MIN(IF(COUNTIF($N$3:N414,"鼠")=0,10^9,LOOKUP(2,1/($N$3:N414="鼠"),ROW($N$3:N414))),IF(COUNTIF($N$3:N414,"牛")=0,10^9,LOOKUP(2,1/($N$3:N414="牛"),ROW($N$3:N414))),IF(COUNTIF($N$3:N414,"虎")=0,10^9,LOOKUP(2,1/($N$3:N414="虎"),ROW($N$3:N414))),IF(COUNTIF($N$3:N414,"兔")=0,10^9,LOOKUP(2,1/($N$3:N414="兔"),ROW($N$3:N414))),IF(COUNTIF($N$3:N414,"龙")=0,10^9,LOOKUP(2,1/($N$3:N414="龙"),ROW($N$3:N414))),IF(COUNTIF($N$3:N414,"蛇")=0,10^9,LOOKUP(2,1/($N$3:N414="蛇"),ROW($N$3:N414))),IF(COUNTIF($N$3:N414,"马")=0,10^9,LOOKUP(2,1/($N$3:N414="马"),ROW($N$3:N414))),IF(COUNTIF($N$3:N414,"羊")=0,10^9,LOOKUP(2,1/($N$3:N414="羊"),ROW($N$3:N414))),IF(COUNTIF($N$3:N414,"猴")=0,10^9,LOOKUP(2,1/($N$3:N414="猴"),ROW($N$3:N414))),IF(COUNTIF($N$3:N414,"鸡")=0,10^9,LOOKUP(2,1/($N$3:N414="鸡"),ROW($N$3:N414))),IF(COUNTIF($N$3:N414,"狗")=0,10^9,LOOKUP(2,1/($N$3:N414="狗"),ROW($N$3:N414))),IF(COUNTIF($N$3:N414,"猪")=0,10^9,LOOKUP(2,1/($N$3:N414="猪"),ROW($N$3:N414))))-ROW($N$3)+1),""))),0,IF(ISNUMBER(J414),J414+1,1)))</f>
        <v/>
      </c>
      <c r="K415" s="5" t="e">
        <f t="shared" si="42"/>
        <v>#N/A</v>
      </c>
      <c r="M415" s="6" t="str">
        <f t="shared" si="38"/>
        <v/>
      </c>
      <c r="N415" s="2" t="e">
        <f t="shared" si="39"/>
        <v>#N/A</v>
      </c>
      <c r="O415" s="7" t="str">
        <f>IF(M415="","",IF(COUNTIF(M416:$M$1000,M415)&gt;0,"",M415))</f>
        <v/>
      </c>
      <c r="P415" s="8" t="e">
        <f>IF(N415="","",IF(COUNTIF(N416:$N$1000,N415)&gt;0,"",N415))</f>
        <v>#N/A</v>
      </c>
      <c r="Q415" s="21" t="e">
        <f t="shared" si="40"/>
        <v>#NUM!</v>
      </c>
      <c r="R415" s="22" t="e">
        <f t="shared" si="41"/>
        <v>#NUM!</v>
      </c>
      <c r="S415" s="11"/>
      <c r="T415" s="11"/>
      <c r="U415" s="11"/>
      <c r="W415" s="11"/>
      <c r="X415" s="2"/>
      <c r="Y415" s="2"/>
    </row>
    <row r="416" s="1" customFormat="1" spans="1:25">
      <c r="A416" s="2">
        <v>115057051</v>
      </c>
      <c r="B416" s="2"/>
      <c r="C416" s="2"/>
      <c r="D416" s="2"/>
      <c r="E416" s="2"/>
      <c r="F416" s="2"/>
      <c r="G416" s="2"/>
      <c r="H416" s="3"/>
      <c r="I416" s="2" t="e">
        <f t="shared" si="37"/>
        <v>#N/A</v>
      </c>
      <c r="J416" s="4" t="str">
        <f>IF(H416="","",IF(OR(AND(M416&lt;&gt;"",M416=IFERROR(INDEX($M$3:M415,MIN(IF(COUNTIF($M$3:M415,"0")=0,10^9,LOOKUP(2,1/($M$3:M415="0"),ROW($M$3:M415))),IF(COUNTIF($M$3:M415,"1")=0,10^9,LOOKUP(2,1/($M$3:M415="1"),ROW($M$3:M415))),IF(COUNTIF($M$3:M415,"2")=0,10^9,LOOKUP(2,1/($M$3:M415="2"),ROW($M$3:M415))),IF(COUNTIF($M$3:M415,"3")=0,10^9,LOOKUP(2,1/($M$3:M415="3"),ROW($M$3:M415))),IF(COUNTIF($M$3:M415,"4")=0,10^9,LOOKUP(2,1/($M$3:M415="4"),ROW($M$3:M415))),IF(COUNTIF($M$3:M415,"5")=0,10^9,LOOKUP(2,1/($M$3:M415="5"),ROW($M$3:M415))),IF(COUNTIF($M$3:M415,"6")=0,10^9,LOOKUP(2,1/($M$3:M415="6"),ROW($M$3:M415))),IF(COUNTIF($M$3:M415,"7")=0,10^9,LOOKUP(2,1/($M$3:M415="7"),ROW($M$3:M415))),IF(COUNTIF($M$3:M415,"8")=0,10^9,LOOKUP(2,1/($M$3:M415="8"),ROW($M$3:M415))),IF(COUNTIF($M$3:M415,"9")=0,10^9,LOOKUP(2,1/($M$3:M415="9"),ROW($M$3:M415))))-ROW($M$3)+1),"")),AND(N416&lt;&gt;"",N416=IFERROR(INDEX($N$3:N415,MIN(IF(COUNTIF($N$3:N415,"鼠")=0,10^9,LOOKUP(2,1/($N$3:N415="鼠"),ROW($N$3:N415))),IF(COUNTIF($N$3:N415,"牛")=0,10^9,LOOKUP(2,1/($N$3:N415="牛"),ROW($N$3:N415))),IF(COUNTIF($N$3:N415,"虎")=0,10^9,LOOKUP(2,1/($N$3:N415="虎"),ROW($N$3:N415))),IF(COUNTIF($N$3:N415,"兔")=0,10^9,LOOKUP(2,1/($N$3:N415="兔"),ROW($N$3:N415))),IF(COUNTIF($N$3:N415,"龙")=0,10^9,LOOKUP(2,1/($N$3:N415="龙"),ROW($N$3:N415))),IF(COUNTIF($N$3:N415,"蛇")=0,10^9,LOOKUP(2,1/($N$3:N415="蛇"),ROW($N$3:N415))),IF(COUNTIF($N$3:N415,"马")=0,10^9,LOOKUP(2,1/($N$3:N415="马"),ROW($N$3:N415))),IF(COUNTIF($N$3:N415,"羊")=0,10^9,LOOKUP(2,1/($N$3:N415="羊"),ROW($N$3:N415))),IF(COUNTIF($N$3:N415,"猴")=0,10^9,LOOKUP(2,1/($N$3:N415="猴"),ROW($N$3:N415))),IF(COUNTIF($N$3:N415,"鸡")=0,10^9,LOOKUP(2,1/($N$3:N415="鸡"),ROW($N$3:N415))),IF(COUNTIF($N$3:N415,"狗")=0,10^9,LOOKUP(2,1/($N$3:N415="狗"),ROW($N$3:N415))),IF(COUNTIF($N$3:N415,"猪")=0,10^9,LOOKUP(2,1/($N$3:N415="猪"),ROW($N$3:N415))))-ROW($N$3)+1),""))),0,IF(ISNUMBER(J415),J415+1,1)))</f>
        <v/>
      </c>
      <c r="K416" s="5" t="e">
        <f t="shared" si="42"/>
        <v>#N/A</v>
      </c>
      <c r="M416" s="6" t="str">
        <f t="shared" si="38"/>
        <v/>
      </c>
      <c r="N416" s="2" t="e">
        <f t="shared" si="39"/>
        <v>#N/A</v>
      </c>
      <c r="O416" s="7" t="str">
        <f>IF(M416="","",IF(COUNTIF(M417:$M$1000,M416)&gt;0,"",M416))</f>
        <v/>
      </c>
      <c r="P416" s="8" t="e">
        <f>IF(N416="","",IF(COUNTIF(N417:$N$1000,N416)&gt;0,"",N416))</f>
        <v>#N/A</v>
      </c>
      <c r="Q416" s="21" t="e">
        <f t="shared" si="40"/>
        <v>#NUM!</v>
      </c>
      <c r="R416" s="22" t="e">
        <f t="shared" si="41"/>
        <v>#NUM!</v>
      </c>
      <c r="S416" s="11"/>
      <c r="T416" s="11"/>
      <c r="U416" s="11"/>
      <c r="W416" s="11"/>
      <c r="X416" s="2"/>
      <c r="Y416" s="2"/>
    </row>
    <row r="417" s="1" customFormat="1" spans="1:25">
      <c r="A417" s="2">
        <v>115057052</v>
      </c>
      <c r="B417" s="2"/>
      <c r="C417" s="2"/>
      <c r="D417" s="2"/>
      <c r="E417" s="2"/>
      <c r="F417" s="2"/>
      <c r="G417" s="2"/>
      <c r="H417" s="3"/>
      <c r="I417" s="2" t="e">
        <f t="shared" si="37"/>
        <v>#N/A</v>
      </c>
      <c r="J417" s="4" t="str">
        <f>IF(H417="","",IF(OR(AND(M417&lt;&gt;"",M417=IFERROR(INDEX($M$3:M416,MIN(IF(COUNTIF($M$3:M416,"0")=0,10^9,LOOKUP(2,1/($M$3:M416="0"),ROW($M$3:M416))),IF(COUNTIF($M$3:M416,"1")=0,10^9,LOOKUP(2,1/($M$3:M416="1"),ROW($M$3:M416))),IF(COUNTIF($M$3:M416,"2")=0,10^9,LOOKUP(2,1/($M$3:M416="2"),ROW($M$3:M416))),IF(COUNTIF($M$3:M416,"3")=0,10^9,LOOKUP(2,1/($M$3:M416="3"),ROW($M$3:M416))),IF(COUNTIF($M$3:M416,"4")=0,10^9,LOOKUP(2,1/($M$3:M416="4"),ROW($M$3:M416))),IF(COUNTIF($M$3:M416,"5")=0,10^9,LOOKUP(2,1/($M$3:M416="5"),ROW($M$3:M416))),IF(COUNTIF($M$3:M416,"6")=0,10^9,LOOKUP(2,1/($M$3:M416="6"),ROW($M$3:M416))),IF(COUNTIF($M$3:M416,"7")=0,10^9,LOOKUP(2,1/($M$3:M416="7"),ROW($M$3:M416))),IF(COUNTIF($M$3:M416,"8")=0,10^9,LOOKUP(2,1/($M$3:M416="8"),ROW($M$3:M416))),IF(COUNTIF($M$3:M416,"9")=0,10^9,LOOKUP(2,1/($M$3:M416="9"),ROW($M$3:M416))))-ROW($M$3)+1),"")),AND(N417&lt;&gt;"",N417=IFERROR(INDEX($N$3:N416,MIN(IF(COUNTIF($N$3:N416,"鼠")=0,10^9,LOOKUP(2,1/($N$3:N416="鼠"),ROW($N$3:N416))),IF(COUNTIF($N$3:N416,"牛")=0,10^9,LOOKUP(2,1/($N$3:N416="牛"),ROW($N$3:N416))),IF(COUNTIF($N$3:N416,"虎")=0,10^9,LOOKUP(2,1/($N$3:N416="虎"),ROW($N$3:N416))),IF(COUNTIF($N$3:N416,"兔")=0,10^9,LOOKUP(2,1/($N$3:N416="兔"),ROW($N$3:N416))),IF(COUNTIF($N$3:N416,"龙")=0,10^9,LOOKUP(2,1/($N$3:N416="龙"),ROW($N$3:N416))),IF(COUNTIF($N$3:N416,"蛇")=0,10^9,LOOKUP(2,1/($N$3:N416="蛇"),ROW($N$3:N416))),IF(COUNTIF($N$3:N416,"马")=0,10^9,LOOKUP(2,1/($N$3:N416="马"),ROW($N$3:N416))),IF(COUNTIF($N$3:N416,"羊")=0,10^9,LOOKUP(2,1/($N$3:N416="羊"),ROW($N$3:N416))),IF(COUNTIF($N$3:N416,"猴")=0,10^9,LOOKUP(2,1/($N$3:N416="猴"),ROW($N$3:N416))),IF(COUNTIF($N$3:N416,"鸡")=0,10^9,LOOKUP(2,1/($N$3:N416="鸡"),ROW($N$3:N416))),IF(COUNTIF($N$3:N416,"狗")=0,10^9,LOOKUP(2,1/($N$3:N416="狗"),ROW($N$3:N416))),IF(COUNTIF($N$3:N416,"猪")=0,10^9,LOOKUP(2,1/($N$3:N416="猪"),ROW($N$3:N416))))-ROW($N$3)+1),""))),0,IF(ISNUMBER(J416),J416+1,1)))</f>
        <v/>
      </c>
      <c r="K417" s="5" t="e">
        <f t="shared" si="42"/>
        <v>#N/A</v>
      </c>
      <c r="M417" s="6" t="str">
        <f t="shared" si="38"/>
        <v/>
      </c>
      <c r="N417" s="2" t="e">
        <f t="shared" si="39"/>
        <v>#N/A</v>
      </c>
      <c r="O417" s="7" t="str">
        <f>IF(M417="","",IF(COUNTIF(M418:$M$1000,M417)&gt;0,"",M417))</f>
        <v/>
      </c>
      <c r="P417" s="8" t="e">
        <f>IF(N417="","",IF(COUNTIF(N418:$N$1000,N417)&gt;0,"",N417))</f>
        <v>#N/A</v>
      </c>
      <c r="Q417" s="21" t="e">
        <f t="shared" si="40"/>
        <v>#NUM!</v>
      </c>
      <c r="R417" s="22" t="e">
        <f t="shared" si="41"/>
        <v>#NUM!</v>
      </c>
      <c r="S417" s="11"/>
      <c r="T417" s="11"/>
      <c r="U417" s="11"/>
      <c r="W417" s="11"/>
      <c r="X417" s="2"/>
      <c r="Y417" s="2"/>
    </row>
    <row r="418" s="1" customFormat="1" spans="1:25">
      <c r="A418" s="2">
        <v>115057053</v>
      </c>
      <c r="B418" s="2"/>
      <c r="C418" s="2"/>
      <c r="D418" s="2"/>
      <c r="E418" s="2"/>
      <c r="F418" s="2"/>
      <c r="G418" s="2"/>
      <c r="H418" s="3"/>
      <c r="I418" s="2" t="e">
        <f t="shared" si="37"/>
        <v>#N/A</v>
      </c>
      <c r="J418" s="4" t="str">
        <f>IF(H418="","",IF(OR(AND(M418&lt;&gt;"",M418=IFERROR(INDEX($M$3:M417,MIN(IF(COUNTIF($M$3:M417,"0")=0,10^9,LOOKUP(2,1/($M$3:M417="0"),ROW($M$3:M417))),IF(COUNTIF($M$3:M417,"1")=0,10^9,LOOKUP(2,1/($M$3:M417="1"),ROW($M$3:M417))),IF(COUNTIF($M$3:M417,"2")=0,10^9,LOOKUP(2,1/($M$3:M417="2"),ROW($M$3:M417))),IF(COUNTIF($M$3:M417,"3")=0,10^9,LOOKUP(2,1/($M$3:M417="3"),ROW($M$3:M417))),IF(COUNTIF($M$3:M417,"4")=0,10^9,LOOKUP(2,1/($M$3:M417="4"),ROW($M$3:M417))),IF(COUNTIF($M$3:M417,"5")=0,10^9,LOOKUP(2,1/($M$3:M417="5"),ROW($M$3:M417))),IF(COUNTIF($M$3:M417,"6")=0,10^9,LOOKUP(2,1/($M$3:M417="6"),ROW($M$3:M417))),IF(COUNTIF($M$3:M417,"7")=0,10^9,LOOKUP(2,1/($M$3:M417="7"),ROW($M$3:M417))),IF(COUNTIF($M$3:M417,"8")=0,10^9,LOOKUP(2,1/($M$3:M417="8"),ROW($M$3:M417))),IF(COUNTIF($M$3:M417,"9")=0,10^9,LOOKUP(2,1/($M$3:M417="9"),ROW($M$3:M417))))-ROW($M$3)+1),"")),AND(N418&lt;&gt;"",N418=IFERROR(INDEX($N$3:N417,MIN(IF(COUNTIF($N$3:N417,"鼠")=0,10^9,LOOKUP(2,1/($N$3:N417="鼠"),ROW($N$3:N417))),IF(COUNTIF($N$3:N417,"牛")=0,10^9,LOOKUP(2,1/($N$3:N417="牛"),ROW($N$3:N417))),IF(COUNTIF($N$3:N417,"虎")=0,10^9,LOOKUP(2,1/($N$3:N417="虎"),ROW($N$3:N417))),IF(COUNTIF($N$3:N417,"兔")=0,10^9,LOOKUP(2,1/($N$3:N417="兔"),ROW($N$3:N417))),IF(COUNTIF($N$3:N417,"龙")=0,10^9,LOOKUP(2,1/($N$3:N417="龙"),ROW($N$3:N417))),IF(COUNTIF($N$3:N417,"蛇")=0,10^9,LOOKUP(2,1/($N$3:N417="蛇"),ROW($N$3:N417))),IF(COUNTIF($N$3:N417,"马")=0,10^9,LOOKUP(2,1/($N$3:N417="马"),ROW($N$3:N417))),IF(COUNTIF($N$3:N417,"羊")=0,10^9,LOOKUP(2,1/($N$3:N417="羊"),ROW($N$3:N417))),IF(COUNTIF($N$3:N417,"猴")=0,10^9,LOOKUP(2,1/($N$3:N417="猴"),ROW($N$3:N417))),IF(COUNTIF($N$3:N417,"鸡")=0,10^9,LOOKUP(2,1/($N$3:N417="鸡"),ROW($N$3:N417))),IF(COUNTIF($N$3:N417,"狗")=0,10^9,LOOKUP(2,1/($N$3:N417="狗"),ROW($N$3:N417))),IF(COUNTIF($N$3:N417,"猪")=0,10^9,LOOKUP(2,1/($N$3:N417="猪"),ROW($N$3:N417))))-ROW($N$3)+1),""))),0,IF(ISNUMBER(J417),J417+1,1)))</f>
        <v/>
      </c>
      <c r="K418" s="5" t="e">
        <f t="shared" si="42"/>
        <v>#N/A</v>
      </c>
      <c r="M418" s="6" t="str">
        <f t="shared" si="38"/>
        <v/>
      </c>
      <c r="N418" s="2" t="e">
        <f t="shared" si="39"/>
        <v>#N/A</v>
      </c>
      <c r="O418" s="7" t="str">
        <f>IF(M418="","",IF(COUNTIF(M419:$M$1000,M418)&gt;0,"",M418))</f>
        <v/>
      </c>
      <c r="P418" s="8" t="e">
        <f>IF(N418="","",IF(COUNTIF(N419:$N$1000,N418)&gt;0,"",N418))</f>
        <v>#N/A</v>
      </c>
      <c r="Q418" s="21" t="e">
        <f t="shared" si="40"/>
        <v>#NUM!</v>
      </c>
      <c r="R418" s="22" t="e">
        <f t="shared" si="41"/>
        <v>#NUM!</v>
      </c>
      <c r="S418" s="11"/>
      <c r="T418" s="11"/>
      <c r="U418" s="11"/>
      <c r="W418" s="11"/>
      <c r="X418" s="2"/>
      <c r="Y418" s="2"/>
    </row>
    <row r="419" s="1" customFormat="1" spans="1:25">
      <c r="A419" s="2">
        <v>115057054</v>
      </c>
      <c r="B419" s="2"/>
      <c r="C419" s="2"/>
      <c r="D419" s="2"/>
      <c r="E419" s="2"/>
      <c r="F419" s="2"/>
      <c r="G419" s="2"/>
      <c r="H419" s="3"/>
      <c r="I419" s="2" t="e">
        <f t="shared" si="37"/>
        <v>#N/A</v>
      </c>
      <c r="J419" s="4" t="str">
        <f>IF(H419="","",IF(OR(AND(M419&lt;&gt;"",M419=IFERROR(INDEX($M$3:M418,MIN(IF(COUNTIF($M$3:M418,"0")=0,10^9,LOOKUP(2,1/($M$3:M418="0"),ROW($M$3:M418))),IF(COUNTIF($M$3:M418,"1")=0,10^9,LOOKUP(2,1/($M$3:M418="1"),ROW($M$3:M418))),IF(COUNTIF($M$3:M418,"2")=0,10^9,LOOKUP(2,1/($M$3:M418="2"),ROW($M$3:M418))),IF(COUNTIF($M$3:M418,"3")=0,10^9,LOOKUP(2,1/($M$3:M418="3"),ROW($M$3:M418))),IF(COUNTIF($M$3:M418,"4")=0,10^9,LOOKUP(2,1/($M$3:M418="4"),ROW($M$3:M418))),IF(COUNTIF($M$3:M418,"5")=0,10^9,LOOKUP(2,1/($M$3:M418="5"),ROW($M$3:M418))),IF(COUNTIF($M$3:M418,"6")=0,10^9,LOOKUP(2,1/($M$3:M418="6"),ROW($M$3:M418))),IF(COUNTIF($M$3:M418,"7")=0,10^9,LOOKUP(2,1/($M$3:M418="7"),ROW($M$3:M418))),IF(COUNTIF($M$3:M418,"8")=0,10^9,LOOKUP(2,1/($M$3:M418="8"),ROW($M$3:M418))),IF(COUNTIF($M$3:M418,"9")=0,10^9,LOOKUP(2,1/($M$3:M418="9"),ROW($M$3:M418))))-ROW($M$3)+1),"")),AND(N419&lt;&gt;"",N419=IFERROR(INDEX($N$3:N418,MIN(IF(COUNTIF($N$3:N418,"鼠")=0,10^9,LOOKUP(2,1/($N$3:N418="鼠"),ROW($N$3:N418))),IF(COUNTIF($N$3:N418,"牛")=0,10^9,LOOKUP(2,1/($N$3:N418="牛"),ROW($N$3:N418))),IF(COUNTIF($N$3:N418,"虎")=0,10^9,LOOKUP(2,1/($N$3:N418="虎"),ROW($N$3:N418))),IF(COUNTIF($N$3:N418,"兔")=0,10^9,LOOKUP(2,1/($N$3:N418="兔"),ROW($N$3:N418))),IF(COUNTIF($N$3:N418,"龙")=0,10^9,LOOKUP(2,1/($N$3:N418="龙"),ROW($N$3:N418))),IF(COUNTIF($N$3:N418,"蛇")=0,10^9,LOOKUP(2,1/($N$3:N418="蛇"),ROW($N$3:N418))),IF(COUNTIF($N$3:N418,"马")=0,10^9,LOOKUP(2,1/($N$3:N418="马"),ROW($N$3:N418))),IF(COUNTIF($N$3:N418,"羊")=0,10^9,LOOKUP(2,1/($N$3:N418="羊"),ROW($N$3:N418))),IF(COUNTIF($N$3:N418,"猴")=0,10^9,LOOKUP(2,1/($N$3:N418="猴"),ROW($N$3:N418))),IF(COUNTIF($N$3:N418,"鸡")=0,10^9,LOOKUP(2,1/($N$3:N418="鸡"),ROW($N$3:N418))),IF(COUNTIF($N$3:N418,"狗")=0,10^9,LOOKUP(2,1/($N$3:N418="狗"),ROW($N$3:N418))),IF(COUNTIF($N$3:N418,"猪")=0,10^9,LOOKUP(2,1/($N$3:N418="猪"),ROW($N$3:N418))))-ROW($N$3)+1),""))),0,IF(ISNUMBER(J418),J418+1,1)))</f>
        <v/>
      </c>
      <c r="K419" s="5" t="e">
        <f t="shared" si="42"/>
        <v>#N/A</v>
      </c>
      <c r="M419" s="6" t="str">
        <f t="shared" si="38"/>
        <v/>
      </c>
      <c r="N419" s="2" t="e">
        <f t="shared" si="39"/>
        <v>#N/A</v>
      </c>
      <c r="O419" s="7" t="str">
        <f>IF(M419="","",IF(COUNTIF(M420:$M$1000,M419)&gt;0,"",M419))</f>
        <v/>
      </c>
      <c r="P419" s="8" t="e">
        <f>IF(N419="","",IF(COUNTIF(N420:$N$1000,N419)&gt;0,"",N419))</f>
        <v>#N/A</v>
      </c>
      <c r="Q419" s="21" t="e">
        <f t="shared" si="40"/>
        <v>#NUM!</v>
      </c>
      <c r="R419" s="22" t="e">
        <f t="shared" si="41"/>
        <v>#NUM!</v>
      </c>
      <c r="S419" s="11"/>
      <c r="T419" s="11"/>
      <c r="U419" s="11"/>
      <c r="W419" s="11"/>
      <c r="X419" s="2"/>
      <c r="Y419" s="2"/>
    </row>
    <row r="420" s="1" customFormat="1" spans="1:25">
      <c r="A420" s="2">
        <v>115057055</v>
      </c>
      <c r="B420" s="2"/>
      <c r="C420" s="2"/>
      <c r="D420" s="2"/>
      <c r="E420" s="2"/>
      <c r="F420" s="2"/>
      <c r="G420" s="2"/>
      <c r="H420" s="3"/>
      <c r="I420" s="2" t="e">
        <f t="shared" si="37"/>
        <v>#N/A</v>
      </c>
      <c r="J420" s="4" t="str">
        <f>IF(H420="","",IF(OR(AND(M420&lt;&gt;"",M420=IFERROR(INDEX($M$3:M419,MIN(IF(COUNTIF($M$3:M419,"0")=0,10^9,LOOKUP(2,1/($M$3:M419="0"),ROW($M$3:M419))),IF(COUNTIF($M$3:M419,"1")=0,10^9,LOOKUP(2,1/($M$3:M419="1"),ROW($M$3:M419))),IF(COUNTIF($M$3:M419,"2")=0,10^9,LOOKUP(2,1/($M$3:M419="2"),ROW($M$3:M419))),IF(COUNTIF($M$3:M419,"3")=0,10^9,LOOKUP(2,1/($M$3:M419="3"),ROW($M$3:M419))),IF(COUNTIF($M$3:M419,"4")=0,10^9,LOOKUP(2,1/($M$3:M419="4"),ROW($M$3:M419))),IF(COUNTIF($M$3:M419,"5")=0,10^9,LOOKUP(2,1/($M$3:M419="5"),ROW($M$3:M419))),IF(COUNTIF($M$3:M419,"6")=0,10^9,LOOKUP(2,1/($M$3:M419="6"),ROW($M$3:M419))),IF(COUNTIF($M$3:M419,"7")=0,10^9,LOOKUP(2,1/($M$3:M419="7"),ROW($M$3:M419))),IF(COUNTIF($M$3:M419,"8")=0,10^9,LOOKUP(2,1/($M$3:M419="8"),ROW($M$3:M419))),IF(COUNTIF($M$3:M419,"9")=0,10^9,LOOKUP(2,1/($M$3:M419="9"),ROW($M$3:M419))))-ROW($M$3)+1),"")),AND(N420&lt;&gt;"",N420=IFERROR(INDEX($N$3:N419,MIN(IF(COUNTIF($N$3:N419,"鼠")=0,10^9,LOOKUP(2,1/($N$3:N419="鼠"),ROW($N$3:N419))),IF(COUNTIF($N$3:N419,"牛")=0,10^9,LOOKUP(2,1/($N$3:N419="牛"),ROW($N$3:N419))),IF(COUNTIF($N$3:N419,"虎")=0,10^9,LOOKUP(2,1/($N$3:N419="虎"),ROW($N$3:N419))),IF(COUNTIF($N$3:N419,"兔")=0,10^9,LOOKUP(2,1/($N$3:N419="兔"),ROW($N$3:N419))),IF(COUNTIF($N$3:N419,"龙")=0,10^9,LOOKUP(2,1/($N$3:N419="龙"),ROW($N$3:N419))),IF(COUNTIF($N$3:N419,"蛇")=0,10^9,LOOKUP(2,1/($N$3:N419="蛇"),ROW($N$3:N419))),IF(COUNTIF($N$3:N419,"马")=0,10^9,LOOKUP(2,1/($N$3:N419="马"),ROW($N$3:N419))),IF(COUNTIF($N$3:N419,"羊")=0,10^9,LOOKUP(2,1/($N$3:N419="羊"),ROW($N$3:N419))),IF(COUNTIF($N$3:N419,"猴")=0,10^9,LOOKUP(2,1/($N$3:N419="猴"),ROW($N$3:N419))),IF(COUNTIF($N$3:N419,"鸡")=0,10^9,LOOKUP(2,1/($N$3:N419="鸡"),ROW($N$3:N419))),IF(COUNTIF($N$3:N419,"狗")=0,10^9,LOOKUP(2,1/($N$3:N419="狗"),ROW($N$3:N419))),IF(COUNTIF($N$3:N419,"猪")=0,10^9,LOOKUP(2,1/($N$3:N419="猪"),ROW($N$3:N419))))-ROW($N$3)+1),""))),0,IF(ISNUMBER(J419),J419+1,1)))</f>
        <v/>
      </c>
      <c r="K420" s="5" t="e">
        <f t="shared" si="42"/>
        <v>#N/A</v>
      </c>
      <c r="M420" s="6" t="str">
        <f t="shared" si="38"/>
        <v/>
      </c>
      <c r="N420" s="2" t="e">
        <f t="shared" si="39"/>
        <v>#N/A</v>
      </c>
      <c r="O420" s="7" t="str">
        <f>IF(M420="","",IF(COUNTIF(M421:$M$1000,M420)&gt;0,"",M420))</f>
        <v/>
      </c>
      <c r="P420" s="8" t="e">
        <f>IF(N420="","",IF(COUNTIF(N421:$N$1000,N420)&gt;0,"",N420))</f>
        <v>#N/A</v>
      </c>
      <c r="Q420" s="21" t="e">
        <f t="shared" si="40"/>
        <v>#NUM!</v>
      </c>
      <c r="R420" s="22" t="e">
        <f t="shared" si="41"/>
        <v>#NUM!</v>
      </c>
      <c r="S420" s="11"/>
      <c r="T420" s="11"/>
      <c r="U420" s="11"/>
      <c r="W420" s="11"/>
      <c r="X420" s="2"/>
      <c r="Y420" s="2"/>
    </row>
    <row r="421" s="1" customFormat="1" spans="1:25">
      <c r="A421" s="2">
        <v>115057056</v>
      </c>
      <c r="B421" s="2"/>
      <c r="C421" s="2"/>
      <c r="D421" s="2"/>
      <c r="E421" s="2"/>
      <c r="F421" s="2"/>
      <c r="G421" s="2"/>
      <c r="H421" s="3"/>
      <c r="I421" s="2" t="e">
        <f t="shared" si="37"/>
        <v>#N/A</v>
      </c>
      <c r="J421" s="4" t="str">
        <f>IF(H421="","",IF(OR(AND(M421&lt;&gt;"",M421=IFERROR(INDEX($M$3:M420,MIN(IF(COUNTIF($M$3:M420,"0")=0,10^9,LOOKUP(2,1/($M$3:M420="0"),ROW($M$3:M420))),IF(COUNTIF($M$3:M420,"1")=0,10^9,LOOKUP(2,1/($M$3:M420="1"),ROW($M$3:M420))),IF(COUNTIF($M$3:M420,"2")=0,10^9,LOOKUP(2,1/($M$3:M420="2"),ROW($M$3:M420))),IF(COUNTIF($M$3:M420,"3")=0,10^9,LOOKUP(2,1/($M$3:M420="3"),ROW($M$3:M420))),IF(COUNTIF($M$3:M420,"4")=0,10^9,LOOKUP(2,1/($M$3:M420="4"),ROW($M$3:M420))),IF(COUNTIF($M$3:M420,"5")=0,10^9,LOOKUP(2,1/($M$3:M420="5"),ROW($M$3:M420))),IF(COUNTIF($M$3:M420,"6")=0,10^9,LOOKUP(2,1/($M$3:M420="6"),ROW($M$3:M420))),IF(COUNTIF($M$3:M420,"7")=0,10^9,LOOKUP(2,1/($M$3:M420="7"),ROW($M$3:M420))),IF(COUNTIF($M$3:M420,"8")=0,10^9,LOOKUP(2,1/($M$3:M420="8"),ROW($M$3:M420))),IF(COUNTIF($M$3:M420,"9")=0,10^9,LOOKUP(2,1/($M$3:M420="9"),ROW($M$3:M420))))-ROW($M$3)+1),"")),AND(N421&lt;&gt;"",N421=IFERROR(INDEX($N$3:N420,MIN(IF(COUNTIF($N$3:N420,"鼠")=0,10^9,LOOKUP(2,1/($N$3:N420="鼠"),ROW($N$3:N420))),IF(COUNTIF($N$3:N420,"牛")=0,10^9,LOOKUP(2,1/($N$3:N420="牛"),ROW($N$3:N420))),IF(COUNTIF($N$3:N420,"虎")=0,10^9,LOOKUP(2,1/($N$3:N420="虎"),ROW($N$3:N420))),IF(COUNTIF($N$3:N420,"兔")=0,10^9,LOOKUP(2,1/($N$3:N420="兔"),ROW($N$3:N420))),IF(COUNTIF($N$3:N420,"龙")=0,10^9,LOOKUP(2,1/($N$3:N420="龙"),ROW($N$3:N420))),IF(COUNTIF($N$3:N420,"蛇")=0,10^9,LOOKUP(2,1/($N$3:N420="蛇"),ROW($N$3:N420))),IF(COUNTIF($N$3:N420,"马")=0,10^9,LOOKUP(2,1/($N$3:N420="马"),ROW($N$3:N420))),IF(COUNTIF($N$3:N420,"羊")=0,10^9,LOOKUP(2,1/($N$3:N420="羊"),ROW($N$3:N420))),IF(COUNTIF($N$3:N420,"猴")=0,10^9,LOOKUP(2,1/($N$3:N420="猴"),ROW($N$3:N420))),IF(COUNTIF($N$3:N420,"鸡")=0,10^9,LOOKUP(2,1/($N$3:N420="鸡"),ROW($N$3:N420))),IF(COUNTIF($N$3:N420,"狗")=0,10^9,LOOKUP(2,1/($N$3:N420="狗"),ROW($N$3:N420))),IF(COUNTIF($N$3:N420,"猪")=0,10^9,LOOKUP(2,1/($N$3:N420="猪"),ROW($N$3:N420))))-ROW($N$3)+1),""))),0,IF(ISNUMBER(J420),J420+1,1)))</f>
        <v/>
      </c>
      <c r="K421" s="5" t="e">
        <f t="shared" si="42"/>
        <v>#N/A</v>
      </c>
      <c r="M421" s="6" t="str">
        <f t="shared" si="38"/>
        <v/>
      </c>
      <c r="N421" s="2" t="e">
        <f t="shared" si="39"/>
        <v>#N/A</v>
      </c>
      <c r="O421" s="7" t="str">
        <f>IF(M421="","",IF(COUNTIF(M422:$M$1000,M421)&gt;0,"",M421))</f>
        <v/>
      </c>
      <c r="P421" s="8" t="e">
        <f>IF(N421="","",IF(COUNTIF(N422:$N$1000,N421)&gt;0,"",N421))</f>
        <v>#N/A</v>
      </c>
      <c r="Q421" s="21" t="e">
        <f t="shared" si="40"/>
        <v>#NUM!</v>
      </c>
      <c r="R421" s="22" t="e">
        <f t="shared" si="41"/>
        <v>#NUM!</v>
      </c>
      <c r="S421" s="11"/>
      <c r="T421" s="11"/>
      <c r="U421" s="11"/>
      <c r="W421" s="11"/>
      <c r="X421" s="2"/>
      <c r="Y421" s="2"/>
    </row>
    <row r="422" s="1" customFormat="1" spans="1:25">
      <c r="A422" s="2">
        <v>115057057</v>
      </c>
      <c r="B422" s="2"/>
      <c r="C422" s="2"/>
      <c r="D422" s="2"/>
      <c r="E422" s="2"/>
      <c r="F422" s="2"/>
      <c r="G422" s="2"/>
      <c r="H422" s="3"/>
      <c r="I422" s="2" t="e">
        <f t="shared" si="37"/>
        <v>#N/A</v>
      </c>
      <c r="J422" s="4" t="str">
        <f>IF(H422="","",IF(OR(AND(M422&lt;&gt;"",M422=IFERROR(INDEX($M$3:M421,MIN(IF(COUNTIF($M$3:M421,"0")=0,10^9,LOOKUP(2,1/($M$3:M421="0"),ROW($M$3:M421))),IF(COUNTIF($M$3:M421,"1")=0,10^9,LOOKUP(2,1/($M$3:M421="1"),ROW($M$3:M421))),IF(COUNTIF($M$3:M421,"2")=0,10^9,LOOKUP(2,1/($M$3:M421="2"),ROW($M$3:M421))),IF(COUNTIF($M$3:M421,"3")=0,10^9,LOOKUP(2,1/($M$3:M421="3"),ROW($M$3:M421))),IF(COUNTIF($M$3:M421,"4")=0,10^9,LOOKUP(2,1/($M$3:M421="4"),ROW($M$3:M421))),IF(COUNTIF($M$3:M421,"5")=0,10^9,LOOKUP(2,1/($M$3:M421="5"),ROW($M$3:M421))),IF(COUNTIF($M$3:M421,"6")=0,10^9,LOOKUP(2,1/($M$3:M421="6"),ROW($M$3:M421))),IF(COUNTIF($M$3:M421,"7")=0,10^9,LOOKUP(2,1/($M$3:M421="7"),ROW($M$3:M421))),IF(COUNTIF($M$3:M421,"8")=0,10^9,LOOKUP(2,1/($M$3:M421="8"),ROW($M$3:M421))),IF(COUNTIF($M$3:M421,"9")=0,10^9,LOOKUP(2,1/($M$3:M421="9"),ROW($M$3:M421))))-ROW($M$3)+1),"")),AND(N422&lt;&gt;"",N422=IFERROR(INDEX($N$3:N421,MIN(IF(COUNTIF($N$3:N421,"鼠")=0,10^9,LOOKUP(2,1/($N$3:N421="鼠"),ROW($N$3:N421))),IF(COUNTIF($N$3:N421,"牛")=0,10^9,LOOKUP(2,1/($N$3:N421="牛"),ROW($N$3:N421))),IF(COUNTIF($N$3:N421,"虎")=0,10^9,LOOKUP(2,1/($N$3:N421="虎"),ROW($N$3:N421))),IF(COUNTIF($N$3:N421,"兔")=0,10^9,LOOKUP(2,1/($N$3:N421="兔"),ROW($N$3:N421))),IF(COUNTIF($N$3:N421,"龙")=0,10^9,LOOKUP(2,1/($N$3:N421="龙"),ROW($N$3:N421))),IF(COUNTIF($N$3:N421,"蛇")=0,10^9,LOOKUP(2,1/($N$3:N421="蛇"),ROW($N$3:N421))),IF(COUNTIF($N$3:N421,"马")=0,10^9,LOOKUP(2,1/($N$3:N421="马"),ROW($N$3:N421))),IF(COUNTIF($N$3:N421,"羊")=0,10^9,LOOKUP(2,1/($N$3:N421="羊"),ROW($N$3:N421))),IF(COUNTIF($N$3:N421,"猴")=0,10^9,LOOKUP(2,1/($N$3:N421="猴"),ROW($N$3:N421))),IF(COUNTIF($N$3:N421,"鸡")=0,10^9,LOOKUP(2,1/($N$3:N421="鸡"),ROW($N$3:N421))),IF(COUNTIF($N$3:N421,"狗")=0,10^9,LOOKUP(2,1/($N$3:N421="狗"),ROW($N$3:N421))),IF(COUNTIF($N$3:N421,"猪")=0,10^9,LOOKUP(2,1/($N$3:N421="猪"),ROW($N$3:N421))))-ROW($N$3)+1),""))),0,IF(ISNUMBER(J421),J421+1,1)))</f>
        <v/>
      </c>
      <c r="K422" s="5" t="e">
        <f t="shared" si="42"/>
        <v>#N/A</v>
      </c>
      <c r="M422" s="6" t="str">
        <f t="shared" si="38"/>
        <v/>
      </c>
      <c r="N422" s="2" t="e">
        <f t="shared" si="39"/>
        <v>#N/A</v>
      </c>
      <c r="O422" s="7" t="str">
        <f>IF(M422="","",IF(COUNTIF(M423:$M$1000,M422)&gt;0,"",M422))</f>
        <v/>
      </c>
      <c r="P422" s="8" t="e">
        <f>IF(N422="","",IF(COUNTIF(N423:$N$1000,N422)&gt;0,"",N422))</f>
        <v>#N/A</v>
      </c>
      <c r="Q422" s="21" t="e">
        <f t="shared" si="40"/>
        <v>#NUM!</v>
      </c>
      <c r="R422" s="22" t="e">
        <f t="shared" si="41"/>
        <v>#NUM!</v>
      </c>
      <c r="S422" s="11"/>
      <c r="T422" s="11"/>
      <c r="U422" s="11"/>
      <c r="W422" s="11"/>
      <c r="X422" s="2"/>
      <c r="Y422" s="2"/>
    </row>
    <row r="423" s="1" customFormat="1" spans="1:25">
      <c r="A423" s="2">
        <v>115057058</v>
      </c>
      <c r="B423" s="2"/>
      <c r="C423" s="2"/>
      <c r="D423" s="2"/>
      <c r="E423" s="2"/>
      <c r="F423" s="2"/>
      <c r="G423" s="2"/>
      <c r="H423" s="3"/>
      <c r="I423" s="2" t="e">
        <f t="shared" si="37"/>
        <v>#N/A</v>
      </c>
      <c r="J423" s="4" t="str">
        <f>IF(H423="","",IF(OR(AND(M423&lt;&gt;"",M423=IFERROR(INDEX($M$3:M422,MIN(IF(COUNTIF($M$3:M422,"0")=0,10^9,LOOKUP(2,1/($M$3:M422="0"),ROW($M$3:M422))),IF(COUNTIF($M$3:M422,"1")=0,10^9,LOOKUP(2,1/($M$3:M422="1"),ROW($M$3:M422))),IF(COUNTIF($M$3:M422,"2")=0,10^9,LOOKUP(2,1/($M$3:M422="2"),ROW($M$3:M422))),IF(COUNTIF($M$3:M422,"3")=0,10^9,LOOKUP(2,1/($M$3:M422="3"),ROW($M$3:M422))),IF(COUNTIF($M$3:M422,"4")=0,10^9,LOOKUP(2,1/($M$3:M422="4"),ROW($M$3:M422))),IF(COUNTIF($M$3:M422,"5")=0,10^9,LOOKUP(2,1/($M$3:M422="5"),ROW($M$3:M422))),IF(COUNTIF($M$3:M422,"6")=0,10^9,LOOKUP(2,1/($M$3:M422="6"),ROW($M$3:M422))),IF(COUNTIF($M$3:M422,"7")=0,10^9,LOOKUP(2,1/($M$3:M422="7"),ROW($M$3:M422))),IF(COUNTIF($M$3:M422,"8")=0,10^9,LOOKUP(2,1/($M$3:M422="8"),ROW($M$3:M422))),IF(COUNTIF($M$3:M422,"9")=0,10^9,LOOKUP(2,1/($M$3:M422="9"),ROW($M$3:M422))))-ROW($M$3)+1),"")),AND(N423&lt;&gt;"",N423=IFERROR(INDEX($N$3:N422,MIN(IF(COUNTIF($N$3:N422,"鼠")=0,10^9,LOOKUP(2,1/($N$3:N422="鼠"),ROW($N$3:N422))),IF(COUNTIF($N$3:N422,"牛")=0,10^9,LOOKUP(2,1/($N$3:N422="牛"),ROW($N$3:N422))),IF(COUNTIF($N$3:N422,"虎")=0,10^9,LOOKUP(2,1/($N$3:N422="虎"),ROW($N$3:N422))),IF(COUNTIF($N$3:N422,"兔")=0,10^9,LOOKUP(2,1/($N$3:N422="兔"),ROW($N$3:N422))),IF(COUNTIF($N$3:N422,"龙")=0,10^9,LOOKUP(2,1/($N$3:N422="龙"),ROW($N$3:N422))),IF(COUNTIF($N$3:N422,"蛇")=0,10^9,LOOKUP(2,1/($N$3:N422="蛇"),ROW($N$3:N422))),IF(COUNTIF($N$3:N422,"马")=0,10^9,LOOKUP(2,1/($N$3:N422="马"),ROW($N$3:N422))),IF(COUNTIF($N$3:N422,"羊")=0,10^9,LOOKUP(2,1/($N$3:N422="羊"),ROW($N$3:N422))),IF(COUNTIF($N$3:N422,"猴")=0,10^9,LOOKUP(2,1/($N$3:N422="猴"),ROW($N$3:N422))),IF(COUNTIF($N$3:N422,"鸡")=0,10^9,LOOKUP(2,1/($N$3:N422="鸡"),ROW($N$3:N422))),IF(COUNTIF($N$3:N422,"狗")=0,10^9,LOOKUP(2,1/($N$3:N422="狗"),ROW($N$3:N422))),IF(COUNTIF($N$3:N422,"猪")=0,10^9,LOOKUP(2,1/($N$3:N422="猪"),ROW($N$3:N422))))-ROW($N$3)+1),""))),0,IF(ISNUMBER(J422),J422+1,1)))</f>
        <v/>
      </c>
      <c r="K423" s="5" t="e">
        <f t="shared" si="42"/>
        <v>#N/A</v>
      </c>
      <c r="M423" s="6" t="str">
        <f t="shared" si="38"/>
        <v/>
      </c>
      <c r="N423" s="2" t="e">
        <f t="shared" si="39"/>
        <v>#N/A</v>
      </c>
      <c r="O423" s="7" t="str">
        <f>IF(M423="","",IF(COUNTIF(M424:$M$1000,M423)&gt;0,"",M423))</f>
        <v/>
      </c>
      <c r="P423" s="8" t="e">
        <f>IF(N423="","",IF(COUNTIF(N424:$N$1000,N423)&gt;0,"",N423))</f>
        <v>#N/A</v>
      </c>
      <c r="Q423" s="21" t="e">
        <f t="shared" si="40"/>
        <v>#NUM!</v>
      </c>
      <c r="R423" s="22" t="e">
        <f t="shared" si="41"/>
        <v>#NUM!</v>
      </c>
      <c r="S423" s="11"/>
      <c r="T423" s="11"/>
      <c r="U423" s="11"/>
      <c r="W423" s="11"/>
      <c r="X423" s="2"/>
      <c r="Y423" s="2"/>
    </row>
    <row r="424" s="1" customFormat="1" spans="1:25">
      <c r="A424" s="2">
        <v>115057059</v>
      </c>
      <c r="B424" s="2"/>
      <c r="C424" s="2"/>
      <c r="D424" s="2"/>
      <c r="E424" s="2"/>
      <c r="F424" s="2"/>
      <c r="G424" s="2"/>
      <c r="H424" s="3"/>
      <c r="I424" s="2" t="e">
        <f t="shared" si="37"/>
        <v>#N/A</v>
      </c>
      <c r="J424" s="4" t="str">
        <f>IF(H424="","",IF(OR(AND(M424&lt;&gt;"",M424=IFERROR(INDEX($M$3:M423,MIN(IF(COUNTIF($M$3:M423,"0")=0,10^9,LOOKUP(2,1/($M$3:M423="0"),ROW($M$3:M423))),IF(COUNTIF($M$3:M423,"1")=0,10^9,LOOKUP(2,1/($M$3:M423="1"),ROW($M$3:M423))),IF(COUNTIF($M$3:M423,"2")=0,10^9,LOOKUP(2,1/($M$3:M423="2"),ROW($M$3:M423))),IF(COUNTIF($M$3:M423,"3")=0,10^9,LOOKUP(2,1/($M$3:M423="3"),ROW($M$3:M423))),IF(COUNTIF($M$3:M423,"4")=0,10^9,LOOKUP(2,1/($M$3:M423="4"),ROW($M$3:M423))),IF(COUNTIF($M$3:M423,"5")=0,10^9,LOOKUP(2,1/($M$3:M423="5"),ROW($M$3:M423))),IF(COUNTIF($M$3:M423,"6")=0,10^9,LOOKUP(2,1/($M$3:M423="6"),ROW($M$3:M423))),IF(COUNTIF($M$3:M423,"7")=0,10^9,LOOKUP(2,1/($M$3:M423="7"),ROW($M$3:M423))),IF(COUNTIF($M$3:M423,"8")=0,10^9,LOOKUP(2,1/($M$3:M423="8"),ROW($M$3:M423))),IF(COUNTIF($M$3:M423,"9")=0,10^9,LOOKUP(2,1/($M$3:M423="9"),ROW($M$3:M423))))-ROW($M$3)+1),"")),AND(N424&lt;&gt;"",N424=IFERROR(INDEX($N$3:N423,MIN(IF(COUNTIF($N$3:N423,"鼠")=0,10^9,LOOKUP(2,1/($N$3:N423="鼠"),ROW($N$3:N423))),IF(COUNTIF($N$3:N423,"牛")=0,10^9,LOOKUP(2,1/($N$3:N423="牛"),ROW($N$3:N423))),IF(COUNTIF($N$3:N423,"虎")=0,10^9,LOOKUP(2,1/($N$3:N423="虎"),ROW($N$3:N423))),IF(COUNTIF($N$3:N423,"兔")=0,10^9,LOOKUP(2,1/($N$3:N423="兔"),ROW($N$3:N423))),IF(COUNTIF($N$3:N423,"龙")=0,10^9,LOOKUP(2,1/($N$3:N423="龙"),ROW($N$3:N423))),IF(COUNTIF($N$3:N423,"蛇")=0,10^9,LOOKUP(2,1/($N$3:N423="蛇"),ROW($N$3:N423))),IF(COUNTIF($N$3:N423,"马")=0,10^9,LOOKUP(2,1/($N$3:N423="马"),ROW($N$3:N423))),IF(COUNTIF($N$3:N423,"羊")=0,10^9,LOOKUP(2,1/($N$3:N423="羊"),ROW($N$3:N423))),IF(COUNTIF($N$3:N423,"猴")=0,10^9,LOOKUP(2,1/($N$3:N423="猴"),ROW($N$3:N423))),IF(COUNTIF($N$3:N423,"鸡")=0,10^9,LOOKUP(2,1/($N$3:N423="鸡"),ROW($N$3:N423))),IF(COUNTIF($N$3:N423,"狗")=0,10^9,LOOKUP(2,1/($N$3:N423="狗"),ROW($N$3:N423))),IF(COUNTIF($N$3:N423,"猪")=0,10^9,LOOKUP(2,1/($N$3:N423="猪"),ROW($N$3:N423))))-ROW($N$3)+1),""))),0,IF(ISNUMBER(J423),J423+1,1)))</f>
        <v/>
      </c>
      <c r="K424" s="5" t="e">
        <f t="shared" si="42"/>
        <v>#N/A</v>
      </c>
      <c r="M424" s="6" t="str">
        <f t="shared" si="38"/>
        <v/>
      </c>
      <c r="N424" s="2" t="e">
        <f t="shared" si="39"/>
        <v>#N/A</v>
      </c>
      <c r="O424" s="7" t="str">
        <f>IF(M424="","",IF(COUNTIF(M425:$M$1000,M424)&gt;0,"",M424))</f>
        <v/>
      </c>
      <c r="P424" s="8" t="e">
        <f>IF(N424="","",IF(COUNTIF(N425:$N$1000,N424)&gt;0,"",N424))</f>
        <v>#N/A</v>
      </c>
      <c r="Q424" s="21" t="e">
        <f t="shared" si="40"/>
        <v>#NUM!</v>
      </c>
      <c r="R424" s="22" t="e">
        <f t="shared" si="41"/>
        <v>#NUM!</v>
      </c>
      <c r="S424" s="11"/>
      <c r="T424" s="11"/>
      <c r="U424" s="11"/>
      <c r="W424" s="11"/>
      <c r="X424" s="2"/>
      <c r="Y424" s="2"/>
    </row>
    <row r="425" s="1" customFormat="1" spans="1:25">
      <c r="A425" s="2">
        <v>115057060</v>
      </c>
      <c r="B425" s="2"/>
      <c r="C425" s="2"/>
      <c r="D425" s="2"/>
      <c r="E425" s="2"/>
      <c r="F425" s="2"/>
      <c r="G425" s="2"/>
      <c r="H425" s="3"/>
      <c r="I425" s="2" t="e">
        <f t="shared" si="37"/>
        <v>#N/A</v>
      </c>
      <c r="J425" s="4" t="str">
        <f>IF(H425="","",IF(OR(AND(M425&lt;&gt;"",M425=IFERROR(INDEX($M$3:M424,MIN(IF(COUNTIF($M$3:M424,"0")=0,10^9,LOOKUP(2,1/($M$3:M424="0"),ROW($M$3:M424))),IF(COUNTIF($M$3:M424,"1")=0,10^9,LOOKUP(2,1/($M$3:M424="1"),ROW($M$3:M424))),IF(COUNTIF($M$3:M424,"2")=0,10^9,LOOKUP(2,1/($M$3:M424="2"),ROW($M$3:M424))),IF(COUNTIF($M$3:M424,"3")=0,10^9,LOOKUP(2,1/($M$3:M424="3"),ROW($M$3:M424))),IF(COUNTIF($M$3:M424,"4")=0,10^9,LOOKUP(2,1/($M$3:M424="4"),ROW($M$3:M424))),IF(COUNTIF($M$3:M424,"5")=0,10^9,LOOKUP(2,1/($M$3:M424="5"),ROW($M$3:M424))),IF(COUNTIF($M$3:M424,"6")=0,10^9,LOOKUP(2,1/($M$3:M424="6"),ROW($M$3:M424))),IF(COUNTIF($M$3:M424,"7")=0,10^9,LOOKUP(2,1/($M$3:M424="7"),ROW($M$3:M424))),IF(COUNTIF($M$3:M424,"8")=0,10^9,LOOKUP(2,1/($M$3:M424="8"),ROW($M$3:M424))),IF(COUNTIF($M$3:M424,"9")=0,10^9,LOOKUP(2,1/($M$3:M424="9"),ROW($M$3:M424))))-ROW($M$3)+1),"")),AND(N425&lt;&gt;"",N425=IFERROR(INDEX($N$3:N424,MIN(IF(COUNTIF($N$3:N424,"鼠")=0,10^9,LOOKUP(2,1/($N$3:N424="鼠"),ROW($N$3:N424))),IF(COUNTIF($N$3:N424,"牛")=0,10^9,LOOKUP(2,1/($N$3:N424="牛"),ROW($N$3:N424))),IF(COUNTIF($N$3:N424,"虎")=0,10^9,LOOKUP(2,1/($N$3:N424="虎"),ROW($N$3:N424))),IF(COUNTIF($N$3:N424,"兔")=0,10^9,LOOKUP(2,1/($N$3:N424="兔"),ROW($N$3:N424))),IF(COUNTIF($N$3:N424,"龙")=0,10^9,LOOKUP(2,1/($N$3:N424="龙"),ROW($N$3:N424))),IF(COUNTIF($N$3:N424,"蛇")=0,10^9,LOOKUP(2,1/($N$3:N424="蛇"),ROW($N$3:N424))),IF(COUNTIF($N$3:N424,"马")=0,10^9,LOOKUP(2,1/($N$3:N424="马"),ROW($N$3:N424))),IF(COUNTIF($N$3:N424,"羊")=0,10^9,LOOKUP(2,1/($N$3:N424="羊"),ROW($N$3:N424))),IF(COUNTIF($N$3:N424,"猴")=0,10^9,LOOKUP(2,1/($N$3:N424="猴"),ROW($N$3:N424))),IF(COUNTIF($N$3:N424,"鸡")=0,10^9,LOOKUP(2,1/($N$3:N424="鸡"),ROW($N$3:N424))),IF(COUNTIF($N$3:N424,"狗")=0,10^9,LOOKUP(2,1/($N$3:N424="狗"),ROW($N$3:N424))),IF(COUNTIF($N$3:N424,"猪")=0,10^9,LOOKUP(2,1/($N$3:N424="猪"),ROW($N$3:N424))))-ROW($N$3)+1),""))),0,IF(ISNUMBER(J424),J424+1,1)))</f>
        <v/>
      </c>
      <c r="K425" s="5" t="e">
        <f t="shared" si="42"/>
        <v>#N/A</v>
      </c>
      <c r="M425" s="6" t="str">
        <f t="shared" si="38"/>
        <v/>
      </c>
      <c r="N425" s="2" t="e">
        <f t="shared" si="39"/>
        <v>#N/A</v>
      </c>
      <c r="O425" s="7" t="str">
        <f>IF(M425="","",IF(COUNTIF(M426:$M$1000,M425)&gt;0,"",M425))</f>
        <v/>
      </c>
      <c r="P425" s="8" t="e">
        <f>IF(N425="","",IF(COUNTIF(N426:$N$1000,N425)&gt;0,"",N425))</f>
        <v>#N/A</v>
      </c>
      <c r="Q425" s="21" t="e">
        <f t="shared" si="40"/>
        <v>#NUM!</v>
      </c>
      <c r="R425" s="22" t="e">
        <f t="shared" si="41"/>
        <v>#NUM!</v>
      </c>
      <c r="S425" s="11"/>
      <c r="T425" s="11"/>
      <c r="U425" s="11"/>
      <c r="W425" s="11"/>
      <c r="X425" s="2"/>
      <c r="Y425" s="2"/>
    </row>
    <row r="426" s="1" customFormat="1" spans="1:25">
      <c r="A426" s="2">
        <v>115057061</v>
      </c>
      <c r="B426" s="2"/>
      <c r="C426" s="2"/>
      <c r="D426" s="2"/>
      <c r="E426" s="2"/>
      <c r="F426" s="2"/>
      <c r="G426" s="2"/>
      <c r="H426" s="3"/>
      <c r="I426" s="2" t="e">
        <f t="shared" si="37"/>
        <v>#N/A</v>
      </c>
      <c r="J426" s="4" t="str">
        <f>IF(H426="","",IF(OR(AND(M426&lt;&gt;"",M426=IFERROR(INDEX($M$3:M425,MIN(IF(COUNTIF($M$3:M425,"0")=0,10^9,LOOKUP(2,1/($M$3:M425="0"),ROW($M$3:M425))),IF(COUNTIF($M$3:M425,"1")=0,10^9,LOOKUP(2,1/($M$3:M425="1"),ROW($M$3:M425))),IF(COUNTIF($M$3:M425,"2")=0,10^9,LOOKUP(2,1/($M$3:M425="2"),ROW($M$3:M425))),IF(COUNTIF($M$3:M425,"3")=0,10^9,LOOKUP(2,1/($M$3:M425="3"),ROW($M$3:M425))),IF(COUNTIF($M$3:M425,"4")=0,10^9,LOOKUP(2,1/($M$3:M425="4"),ROW($M$3:M425))),IF(COUNTIF($M$3:M425,"5")=0,10^9,LOOKUP(2,1/($M$3:M425="5"),ROW($M$3:M425))),IF(COUNTIF($M$3:M425,"6")=0,10^9,LOOKUP(2,1/($M$3:M425="6"),ROW($M$3:M425))),IF(COUNTIF($M$3:M425,"7")=0,10^9,LOOKUP(2,1/($M$3:M425="7"),ROW($M$3:M425))),IF(COUNTIF($M$3:M425,"8")=0,10^9,LOOKUP(2,1/($M$3:M425="8"),ROW($M$3:M425))),IF(COUNTIF($M$3:M425,"9")=0,10^9,LOOKUP(2,1/($M$3:M425="9"),ROW($M$3:M425))))-ROW($M$3)+1),"")),AND(N426&lt;&gt;"",N426=IFERROR(INDEX($N$3:N425,MIN(IF(COUNTIF($N$3:N425,"鼠")=0,10^9,LOOKUP(2,1/($N$3:N425="鼠"),ROW($N$3:N425))),IF(COUNTIF($N$3:N425,"牛")=0,10^9,LOOKUP(2,1/($N$3:N425="牛"),ROW($N$3:N425))),IF(COUNTIF($N$3:N425,"虎")=0,10^9,LOOKUP(2,1/($N$3:N425="虎"),ROW($N$3:N425))),IF(COUNTIF($N$3:N425,"兔")=0,10^9,LOOKUP(2,1/($N$3:N425="兔"),ROW($N$3:N425))),IF(COUNTIF($N$3:N425,"龙")=0,10^9,LOOKUP(2,1/($N$3:N425="龙"),ROW($N$3:N425))),IF(COUNTIF($N$3:N425,"蛇")=0,10^9,LOOKUP(2,1/($N$3:N425="蛇"),ROW($N$3:N425))),IF(COUNTIF($N$3:N425,"马")=0,10^9,LOOKUP(2,1/($N$3:N425="马"),ROW($N$3:N425))),IF(COUNTIF($N$3:N425,"羊")=0,10^9,LOOKUP(2,1/($N$3:N425="羊"),ROW($N$3:N425))),IF(COUNTIF($N$3:N425,"猴")=0,10^9,LOOKUP(2,1/($N$3:N425="猴"),ROW($N$3:N425))),IF(COUNTIF($N$3:N425,"鸡")=0,10^9,LOOKUP(2,1/($N$3:N425="鸡"),ROW($N$3:N425))),IF(COUNTIF($N$3:N425,"狗")=0,10^9,LOOKUP(2,1/($N$3:N425="狗"),ROW($N$3:N425))),IF(COUNTIF($N$3:N425,"猪")=0,10^9,LOOKUP(2,1/($N$3:N425="猪"),ROW($N$3:N425))))-ROW($N$3)+1),""))),0,IF(ISNUMBER(J425),J425+1,1)))</f>
        <v/>
      </c>
      <c r="K426" s="5" t="e">
        <f t="shared" si="42"/>
        <v>#N/A</v>
      </c>
      <c r="M426" s="6" t="str">
        <f t="shared" si="38"/>
        <v/>
      </c>
      <c r="N426" s="2" t="e">
        <f t="shared" si="39"/>
        <v>#N/A</v>
      </c>
      <c r="O426" s="7" t="str">
        <f>IF(M426="","",IF(COUNTIF(M427:$M$1000,M426)&gt;0,"",M426))</f>
        <v/>
      </c>
      <c r="P426" s="8" t="e">
        <f>IF(N426="","",IF(COUNTIF(N427:$N$1000,N426)&gt;0,"",N426))</f>
        <v>#N/A</v>
      </c>
      <c r="Q426" s="21" t="e">
        <f t="shared" si="40"/>
        <v>#NUM!</v>
      </c>
      <c r="R426" s="22" t="e">
        <f t="shared" si="41"/>
        <v>#NUM!</v>
      </c>
      <c r="S426" s="11"/>
      <c r="T426" s="11"/>
      <c r="U426" s="11"/>
      <c r="W426" s="11"/>
      <c r="X426" s="2"/>
      <c r="Y426" s="2"/>
    </row>
    <row r="427" s="1" customFormat="1" spans="1:25">
      <c r="A427" s="2">
        <v>115057062</v>
      </c>
      <c r="B427" s="2"/>
      <c r="C427" s="2"/>
      <c r="D427" s="2"/>
      <c r="E427" s="2"/>
      <c r="F427" s="2"/>
      <c r="G427" s="2"/>
      <c r="H427" s="3"/>
      <c r="I427" s="2" t="e">
        <f t="shared" si="37"/>
        <v>#N/A</v>
      </c>
      <c r="J427" s="4" t="str">
        <f>IF(H427="","",IF(OR(AND(M427&lt;&gt;"",M427=IFERROR(INDEX($M$3:M426,MIN(IF(COUNTIF($M$3:M426,"0")=0,10^9,LOOKUP(2,1/($M$3:M426="0"),ROW($M$3:M426))),IF(COUNTIF($M$3:M426,"1")=0,10^9,LOOKUP(2,1/($M$3:M426="1"),ROW($M$3:M426))),IF(COUNTIF($M$3:M426,"2")=0,10^9,LOOKUP(2,1/($M$3:M426="2"),ROW($M$3:M426))),IF(COUNTIF($M$3:M426,"3")=0,10^9,LOOKUP(2,1/($M$3:M426="3"),ROW($M$3:M426))),IF(COUNTIF($M$3:M426,"4")=0,10^9,LOOKUP(2,1/($M$3:M426="4"),ROW($M$3:M426))),IF(COUNTIF($M$3:M426,"5")=0,10^9,LOOKUP(2,1/($M$3:M426="5"),ROW($M$3:M426))),IF(COUNTIF($M$3:M426,"6")=0,10^9,LOOKUP(2,1/($M$3:M426="6"),ROW($M$3:M426))),IF(COUNTIF($M$3:M426,"7")=0,10^9,LOOKUP(2,1/($M$3:M426="7"),ROW($M$3:M426))),IF(COUNTIF($M$3:M426,"8")=0,10^9,LOOKUP(2,1/($M$3:M426="8"),ROW($M$3:M426))),IF(COUNTIF($M$3:M426,"9")=0,10^9,LOOKUP(2,1/($M$3:M426="9"),ROW($M$3:M426))))-ROW($M$3)+1),"")),AND(N427&lt;&gt;"",N427=IFERROR(INDEX($N$3:N426,MIN(IF(COUNTIF($N$3:N426,"鼠")=0,10^9,LOOKUP(2,1/($N$3:N426="鼠"),ROW($N$3:N426))),IF(COUNTIF($N$3:N426,"牛")=0,10^9,LOOKUP(2,1/($N$3:N426="牛"),ROW($N$3:N426))),IF(COUNTIF($N$3:N426,"虎")=0,10^9,LOOKUP(2,1/($N$3:N426="虎"),ROW($N$3:N426))),IF(COUNTIF($N$3:N426,"兔")=0,10^9,LOOKUP(2,1/($N$3:N426="兔"),ROW($N$3:N426))),IF(COUNTIF($N$3:N426,"龙")=0,10^9,LOOKUP(2,1/($N$3:N426="龙"),ROW($N$3:N426))),IF(COUNTIF($N$3:N426,"蛇")=0,10^9,LOOKUP(2,1/($N$3:N426="蛇"),ROW($N$3:N426))),IF(COUNTIF($N$3:N426,"马")=0,10^9,LOOKUP(2,1/($N$3:N426="马"),ROW($N$3:N426))),IF(COUNTIF($N$3:N426,"羊")=0,10^9,LOOKUP(2,1/($N$3:N426="羊"),ROW($N$3:N426))),IF(COUNTIF($N$3:N426,"猴")=0,10^9,LOOKUP(2,1/($N$3:N426="猴"),ROW($N$3:N426))),IF(COUNTIF($N$3:N426,"鸡")=0,10^9,LOOKUP(2,1/($N$3:N426="鸡"),ROW($N$3:N426))),IF(COUNTIF($N$3:N426,"狗")=0,10^9,LOOKUP(2,1/($N$3:N426="狗"),ROW($N$3:N426))),IF(COUNTIF($N$3:N426,"猪")=0,10^9,LOOKUP(2,1/($N$3:N426="猪"),ROW($N$3:N426))))-ROW($N$3)+1),""))),0,IF(ISNUMBER(J426),J426+1,1)))</f>
        <v/>
      </c>
      <c r="K427" s="5" t="e">
        <f t="shared" si="42"/>
        <v>#N/A</v>
      </c>
      <c r="M427" s="6" t="str">
        <f t="shared" si="38"/>
        <v/>
      </c>
      <c r="N427" s="2" t="e">
        <f t="shared" si="39"/>
        <v>#N/A</v>
      </c>
      <c r="O427" s="7" t="str">
        <f>IF(M427="","",IF(COUNTIF(M428:$M$1000,M427)&gt;0,"",M427))</f>
        <v/>
      </c>
      <c r="P427" s="8" t="e">
        <f>IF(N427="","",IF(COUNTIF(N428:$N$1000,N427)&gt;0,"",N427))</f>
        <v>#N/A</v>
      </c>
      <c r="Q427" s="21" t="e">
        <f t="shared" si="40"/>
        <v>#NUM!</v>
      </c>
      <c r="R427" s="22" t="e">
        <f t="shared" si="41"/>
        <v>#NUM!</v>
      </c>
      <c r="S427" s="11"/>
      <c r="T427" s="11"/>
      <c r="U427" s="11"/>
      <c r="W427" s="11"/>
      <c r="X427" s="2"/>
      <c r="Y427" s="2"/>
    </row>
    <row r="428" s="1" customFormat="1" spans="1:25">
      <c r="A428" s="2">
        <v>115057063</v>
      </c>
      <c r="B428" s="2"/>
      <c r="C428" s="2"/>
      <c r="D428" s="2"/>
      <c r="E428" s="2"/>
      <c r="F428" s="2"/>
      <c r="G428" s="2"/>
      <c r="H428" s="3"/>
      <c r="I428" s="2" t="e">
        <f t="shared" si="37"/>
        <v>#N/A</v>
      </c>
      <c r="J428" s="4" t="str">
        <f>IF(H428="","",IF(OR(AND(M428&lt;&gt;"",M428=IFERROR(INDEX($M$3:M427,MIN(IF(COUNTIF($M$3:M427,"0")=0,10^9,LOOKUP(2,1/($M$3:M427="0"),ROW($M$3:M427))),IF(COUNTIF($M$3:M427,"1")=0,10^9,LOOKUP(2,1/($M$3:M427="1"),ROW($M$3:M427))),IF(COUNTIF($M$3:M427,"2")=0,10^9,LOOKUP(2,1/($M$3:M427="2"),ROW($M$3:M427))),IF(COUNTIF($M$3:M427,"3")=0,10^9,LOOKUP(2,1/($M$3:M427="3"),ROW($M$3:M427))),IF(COUNTIF($M$3:M427,"4")=0,10^9,LOOKUP(2,1/($M$3:M427="4"),ROW($M$3:M427))),IF(COUNTIF($M$3:M427,"5")=0,10^9,LOOKUP(2,1/($M$3:M427="5"),ROW($M$3:M427))),IF(COUNTIF($M$3:M427,"6")=0,10^9,LOOKUP(2,1/($M$3:M427="6"),ROW($M$3:M427))),IF(COUNTIF($M$3:M427,"7")=0,10^9,LOOKUP(2,1/($M$3:M427="7"),ROW($M$3:M427))),IF(COUNTIF($M$3:M427,"8")=0,10^9,LOOKUP(2,1/($M$3:M427="8"),ROW($M$3:M427))),IF(COUNTIF($M$3:M427,"9")=0,10^9,LOOKUP(2,1/($M$3:M427="9"),ROW($M$3:M427))))-ROW($M$3)+1),"")),AND(N428&lt;&gt;"",N428=IFERROR(INDEX($N$3:N427,MIN(IF(COUNTIF($N$3:N427,"鼠")=0,10^9,LOOKUP(2,1/($N$3:N427="鼠"),ROW($N$3:N427))),IF(COUNTIF($N$3:N427,"牛")=0,10^9,LOOKUP(2,1/($N$3:N427="牛"),ROW($N$3:N427))),IF(COUNTIF($N$3:N427,"虎")=0,10^9,LOOKUP(2,1/($N$3:N427="虎"),ROW($N$3:N427))),IF(COUNTIF($N$3:N427,"兔")=0,10^9,LOOKUP(2,1/($N$3:N427="兔"),ROW($N$3:N427))),IF(COUNTIF($N$3:N427,"龙")=0,10^9,LOOKUP(2,1/($N$3:N427="龙"),ROW($N$3:N427))),IF(COUNTIF($N$3:N427,"蛇")=0,10^9,LOOKUP(2,1/($N$3:N427="蛇"),ROW($N$3:N427))),IF(COUNTIF($N$3:N427,"马")=0,10^9,LOOKUP(2,1/($N$3:N427="马"),ROW($N$3:N427))),IF(COUNTIF($N$3:N427,"羊")=0,10^9,LOOKUP(2,1/($N$3:N427="羊"),ROW($N$3:N427))),IF(COUNTIF($N$3:N427,"猴")=0,10^9,LOOKUP(2,1/($N$3:N427="猴"),ROW($N$3:N427))),IF(COUNTIF($N$3:N427,"鸡")=0,10^9,LOOKUP(2,1/($N$3:N427="鸡"),ROW($N$3:N427))),IF(COUNTIF($N$3:N427,"狗")=0,10^9,LOOKUP(2,1/($N$3:N427="狗"),ROW($N$3:N427))),IF(COUNTIF($N$3:N427,"猪")=0,10^9,LOOKUP(2,1/($N$3:N427="猪"),ROW($N$3:N427))))-ROW($N$3)+1),""))),0,IF(ISNUMBER(J427),J427+1,1)))</f>
        <v/>
      </c>
      <c r="K428" s="5" t="e">
        <f t="shared" si="42"/>
        <v>#N/A</v>
      </c>
      <c r="M428" s="6" t="str">
        <f t="shared" si="38"/>
        <v/>
      </c>
      <c r="N428" s="2" t="e">
        <f t="shared" si="39"/>
        <v>#N/A</v>
      </c>
      <c r="O428" s="7" t="str">
        <f>IF(M428="","",IF(COUNTIF(M429:$M$1000,M428)&gt;0,"",M428))</f>
        <v/>
      </c>
      <c r="P428" s="8" t="e">
        <f>IF(N428="","",IF(COUNTIF(N429:$N$1000,N428)&gt;0,"",N428))</f>
        <v>#N/A</v>
      </c>
      <c r="Q428" s="21" t="e">
        <f t="shared" si="40"/>
        <v>#NUM!</v>
      </c>
      <c r="R428" s="22" t="e">
        <f t="shared" si="41"/>
        <v>#NUM!</v>
      </c>
      <c r="S428" s="11"/>
      <c r="T428" s="11"/>
      <c r="U428" s="11"/>
      <c r="W428" s="11"/>
      <c r="X428" s="2"/>
      <c r="Y428" s="2"/>
    </row>
    <row r="429" s="1" customFormat="1" spans="1:25">
      <c r="A429" s="2">
        <v>115057064</v>
      </c>
      <c r="B429" s="2"/>
      <c r="C429" s="2"/>
      <c r="D429" s="2"/>
      <c r="E429" s="2"/>
      <c r="F429" s="2"/>
      <c r="G429" s="2"/>
      <c r="H429" s="3"/>
      <c r="I429" s="2" t="e">
        <f t="shared" si="37"/>
        <v>#N/A</v>
      </c>
      <c r="J429" s="4" t="str">
        <f>IF(H429="","",IF(OR(AND(M429&lt;&gt;"",M429=IFERROR(INDEX($M$3:M428,MIN(IF(COUNTIF($M$3:M428,"0")=0,10^9,LOOKUP(2,1/($M$3:M428="0"),ROW($M$3:M428))),IF(COUNTIF($M$3:M428,"1")=0,10^9,LOOKUP(2,1/($M$3:M428="1"),ROW($M$3:M428))),IF(COUNTIF($M$3:M428,"2")=0,10^9,LOOKUP(2,1/($M$3:M428="2"),ROW($M$3:M428))),IF(COUNTIF($M$3:M428,"3")=0,10^9,LOOKUP(2,1/($M$3:M428="3"),ROW($M$3:M428))),IF(COUNTIF($M$3:M428,"4")=0,10^9,LOOKUP(2,1/($M$3:M428="4"),ROW($M$3:M428))),IF(COUNTIF($M$3:M428,"5")=0,10^9,LOOKUP(2,1/($M$3:M428="5"),ROW($M$3:M428))),IF(COUNTIF($M$3:M428,"6")=0,10^9,LOOKUP(2,1/($M$3:M428="6"),ROW($M$3:M428))),IF(COUNTIF($M$3:M428,"7")=0,10^9,LOOKUP(2,1/($M$3:M428="7"),ROW($M$3:M428))),IF(COUNTIF($M$3:M428,"8")=0,10^9,LOOKUP(2,1/($M$3:M428="8"),ROW($M$3:M428))),IF(COUNTIF($M$3:M428,"9")=0,10^9,LOOKUP(2,1/($M$3:M428="9"),ROW($M$3:M428))))-ROW($M$3)+1),"")),AND(N429&lt;&gt;"",N429=IFERROR(INDEX($N$3:N428,MIN(IF(COUNTIF($N$3:N428,"鼠")=0,10^9,LOOKUP(2,1/($N$3:N428="鼠"),ROW($N$3:N428))),IF(COUNTIF($N$3:N428,"牛")=0,10^9,LOOKUP(2,1/($N$3:N428="牛"),ROW($N$3:N428))),IF(COUNTIF($N$3:N428,"虎")=0,10^9,LOOKUP(2,1/($N$3:N428="虎"),ROW($N$3:N428))),IF(COUNTIF($N$3:N428,"兔")=0,10^9,LOOKUP(2,1/($N$3:N428="兔"),ROW($N$3:N428))),IF(COUNTIF($N$3:N428,"龙")=0,10^9,LOOKUP(2,1/($N$3:N428="龙"),ROW($N$3:N428))),IF(COUNTIF($N$3:N428,"蛇")=0,10^9,LOOKUP(2,1/($N$3:N428="蛇"),ROW($N$3:N428))),IF(COUNTIF($N$3:N428,"马")=0,10^9,LOOKUP(2,1/($N$3:N428="马"),ROW($N$3:N428))),IF(COUNTIF($N$3:N428,"羊")=0,10^9,LOOKUP(2,1/($N$3:N428="羊"),ROW($N$3:N428))),IF(COUNTIF($N$3:N428,"猴")=0,10^9,LOOKUP(2,1/($N$3:N428="猴"),ROW($N$3:N428))),IF(COUNTIF($N$3:N428,"鸡")=0,10^9,LOOKUP(2,1/($N$3:N428="鸡"),ROW($N$3:N428))),IF(COUNTIF($N$3:N428,"狗")=0,10^9,LOOKUP(2,1/($N$3:N428="狗"),ROW($N$3:N428))),IF(COUNTIF($N$3:N428,"猪")=0,10^9,LOOKUP(2,1/($N$3:N428="猪"),ROW($N$3:N428))))-ROW($N$3)+1),""))),0,IF(ISNUMBER(J428),J428+1,1)))</f>
        <v/>
      </c>
      <c r="K429" s="5" t="e">
        <f t="shared" si="42"/>
        <v>#N/A</v>
      </c>
      <c r="M429" s="6" t="str">
        <f t="shared" si="38"/>
        <v/>
      </c>
      <c r="N429" s="2" t="e">
        <f t="shared" si="39"/>
        <v>#N/A</v>
      </c>
      <c r="O429" s="7" t="str">
        <f>IF(M429="","",IF(COUNTIF(M430:$M$1000,M429)&gt;0,"",M429))</f>
        <v/>
      </c>
      <c r="P429" s="8" t="e">
        <f>IF(N429="","",IF(COUNTIF(N430:$N$1000,N429)&gt;0,"",N429))</f>
        <v>#N/A</v>
      </c>
      <c r="Q429" s="21" t="e">
        <f t="shared" si="40"/>
        <v>#NUM!</v>
      </c>
      <c r="R429" s="22" t="e">
        <f t="shared" si="41"/>
        <v>#NUM!</v>
      </c>
      <c r="S429" s="11"/>
      <c r="T429" s="11"/>
      <c r="U429" s="11"/>
      <c r="W429" s="11"/>
      <c r="X429" s="2"/>
      <c r="Y429" s="2"/>
    </row>
    <row r="430" s="1" customFormat="1" spans="1:25">
      <c r="A430" s="2">
        <v>115057065</v>
      </c>
      <c r="B430" s="2"/>
      <c r="C430" s="2"/>
      <c r="D430" s="2"/>
      <c r="E430" s="2"/>
      <c r="F430" s="2"/>
      <c r="G430" s="2"/>
      <c r="H430" s="3"/>
      <c r="I430" s="2" t="e">
        <f t="shared" si="37"/>
        <v>#N/A</v>
      </c>
      <c r="J430" s="4" t="str">
        <f>IF(H430="","",IF(OR(AND(M430&lt;&gt;"",M430=IFERROR(INDEX($M$3:M429,MIN(IF(COUNTIF($M$3:M429,"0")=0,10^9,LOOKUP(2,1/($M$3:M429="0"),ROW($M$3:M429))),IF(COUNTIF($M$3:M429,"1")=0,10^9,LOOKUP(2,1/($M$3:M429="1"),ROW($M$3:M429))),IF(COUNTIF($M$3:M429,"2")=0,10^9,LOOKUP(2,1/($M$3:M429="2"),ROW($M$3:M429))),IF(COUNTIF($M$3:M429,"3")=0,10^9,LOOKUP(2,1/($M$3:M429="3"),ROW($M$3:M429))),IF(COUNTIF($M$3:M429,"4")=0,10^9,LOOKUP(2,1/($M$3:M429="4"),ROW($M$3:M429))),IF(COUNTIF($M$3:M429,"5")=0,10^9,LOOKUP(2,1/($M$3:M429="5"),ROW($M$3:M429))),IF(COUNTIF($M$3:M429,"6")=0,10^9,LOOKUP(2,1/($M$3:M429="6"),ROW($M$3:M429))),IF(COUNTIF($M$3:M429,"7")=0,10^9,LOOKUP(2,1/($M$3:M429="7"),ROW($M$3:M429))),IF(COUNTIF($M$3:M429,"8")=0,10^9,LOOKUP(2,1/($M$3:M429="8"),ROW($M$3:M429))),IF(COUNTIF($M$3:M429,"9")=0,10^9,LOOKUP(2,1/($M$3:M429="9"),ROW($M$3:M429))))-ROW($M$3)+1),"")),AND(N430&lt;&gt;"",N430=IFERROR(INDEX($N$3:N429,MIN(IF(COUNTIF($N$3:N429,"鼠")=0,10^9,LOOKUP(2,1/($N$3:N429="鼠"),ROW($N$3:N429))),IF(COUNTIF($N$3:N429,"牛")=0,10^9,LOOKUP(2,1/($N$3:N429="牛"),ROW($N$3:N429))),IF(COUNTIF($N$3:N429,"虎")=0,10^9,LOOKUP(2,1/($N$3:N429="虎"),ROW($N$3:N429))),IF(COUNTIF($N$3:N429,"兔")=0,10^9,LOOKUP(2,1/($N$3:N429="兔"),ROW($N$3:N429))),IF(COUNTIF($N$3:N429,"龙")=0,10^9,LOOKUP(2,1/($N$3:N429="龙"),ROW($N$3:N429))),IF(COUNTIF($N$3:N429,"蛇")=0,10^9,LOOKUP(2,1/($N$3:N429="蛇"),ROW($N$3:N429))),IF(COUNTIF($N$3:N429,"马")=0,10^9,LOOKUP(2,1/($N$3:N429="马"),ROW($N$3:N429))),IF(COUNTIF($N$3:N429,"羊")=0,10^9,LOOKUP(2,1/($N$3:N429="羊"),ROW($N$3:N429))),IF(COUNTIF($N$3:N429,"猴")=0,10^9,LOOKUP(2,1/($N$3:N429="猴"),ROW($N$3:N429))),IF(COUNTIF($N$3:N429,"鸡")=0,10^9,LOOKUP(2,1/($N$3:N429="鸡"),ROW($N$3:N429))),IF(COUNTIF($N$3:N429,"狗")=0,10^9,LOOKUP(2,1/($N$3:N429="狗"),ROW($N$3:N429))),IF(COUNTIF($N$3:N429,"猪")=0,10^9,LOOKUP(2,1/($N$3:N429="猪"),ROW($N$3:N429))))-ROW($N$3)+1),""))),0,IF(ISNUMBER(J429),J429+1,1)))</f>
        <v/>
      </c>
      <c r="K430" s="5" t="e">
        <f t="shared" si="42"/>
        <v>#N/A</v>
      </c>
      <c r="M430" s="6" t="str">
        <f t="shared" si="38"/>
        <v/>
      </c>
      <c r="N430" s="2" t="e">
        <f t="shared" si="39"/>
        <v>#N/A</v>
      </c>
      <c r="O430" s="7" t="str">
        <f>IF(M430="","",IF(COUNTIF(M431:$M$1000,M430)&gt;0,"",M430))</f>
        <v/>
      </c>
      <c r="P430" s="8" t="e">
        <f>IF(N430="","",IF(COUNTIF(N431:$N$1000,N430)&gt;0,"",N430))</f>
        <v>#N/A</v>
      </c>
      <c r="Q430" s="21" t="e">
        <f t="shared" si="40"/>
        <v>#NUM!</v>
      </c>
      <c r="R430" s="22" t="e">
        <f t="shared" si="41"/>
        <v>#NUM!</v>
      </c>
      <c r="S430" s="11"/>
      <c r="T430" s="11"/>
      <c r="U430" s="11"/>
      <c r="W430" s="11"/>
      <c r="X430" s="2"/>
      <c r="Y430" s="2"/>
    </row>
    <row r="431" s="1" customFormat="1" spans="1:25">
      <c r="A431" s="2">
        <v>115057066</v>
      </c>
      <c r="B431" s="2"/>
      <c r="C431" s="2"/>
      <c r="D431" s="2"/>
      <c r="E431" s="2"/>
      <c r="F431" s="2"/>
      <c r="G431" s="2"/>
      <c r="H431" s="3"/>
      <c r="I431" s="2" t="e">
        <f t="shared" si="37"/>
        <v>#N/A</v>
      </c>
      <c r="J431" s="4" t="str">
        <f>IF(H431="","",IF(OR(AND(M431&lt;&gt;"",M431=IFERROR(INDEX($M$3:M430,MIN(IF(COUNTIF($M$3:M430,"0")=0,10^9,LOOKUP(2,1/($M$3:M430="0"),ROW($M$3:M430))),IF(COUNTIF($M$3:M430,"1")=0,10^9,LOOKUP(2,1/($M$3:M430="1"),ROW($M$3:M430))),IF(COUNTIF($M$3:M430,"2")=0,10^9,LOOKUP(2,1/($M$3:M430="2"),ROW($M$3:M430))),IF(COUNTIF($M$3:M430,"3")=0,10^9,LOOKUP(2,1/($M$3:M430="3"),ROW($M$3:M430))),IF(COUNTIF($M$3:M430,"4")=0,10^9,LOOKUP(2,1/($M$3:M430="4"),ROW($M$3:M430))),IF(COUNTIF($M$3:M430,"5")=0,10^9,LOOKUP(2,1/($M$3:M430="5"),ROW($M$3:M430))),IF(COUNTIF($M$3:M430,"6")=0,10^9,LOOKUP(2,1/($M$3:M430="6"),ROW($M$3:M430))),IF(COUNTIF($M$3:M430,"7")=0,10^9,LOOKUP(2,1/($M$3:M430="7"),ROW($M$3:M430))),IF(COUNTIF($M$3:M430,"8")=0,10^9,LOOKUP(2,1/($M$3:M430="8"),ROW($M$3:M430))),IF(COUNTIF($M$3:M430,"9")=0,10^9,LOOKUP(2,1/($M$3:M430="9"),ROW($M$3:M430))))-ROW($M$3)+1),"")),AND(N431&lt;&gt;"",N431=IFERROR(INDEX($N$3:N430,MIN(IF(COUNTIF($N$3:N430,"鼠")=0,10^9,LOOKUP(2,1/($N$3:N430="鼠"),ROW($N$3:N430))),IF(COUNTIF($N$3:N430,"牛")=0,10^9,LOOKUP(2,1/($N$3:N430="牛"),ROW($N$3:N430))),IF(COUNTIF($N$3:N430,"虎")=0,10^9,LOOKUP(2,1/($N$3:N430="虎"),ROW($N$3:N430))),IF(COUNTIF($N$3:N430,"兔")=0,10^9,LOOKUP(2,1/($N$3:N430="兔"),ROW($N$3:N430))),IF(COUNTIF($N$3:N430,"龙")=0,10^9,LOOKUP(2,1/($N$3:N430="龙"),ROW($N$3:N430))),IF(COUNTIF($N$3:N430,"蛇")=0,10^9,LOOKUP(2,1/($N$3:N430="蛇"),ROW($N$3:N430))),IF(COUNTIF($N$3:N430,"马")=0,10^9,LOOKUP(2,1/($N$3:N430="马"),ROW($N$3:N430))),IF(COUNTIF($N$3:N430,"羊")=0,10^9,LOOKUP(2,1/($N$3:N430="羊"),ROW($N$3:N430))),IF(COUNTIF($N$3:N430,"猴")=0,10^9,LOOKUP(2,1/($N$3:N430="猴"),ROW($N$3:N430))),IF(COUNTIF($N$3:N430,"鸡")=0,10^9,LOOKUP(2,1/($N$3:N430="鸡"),ROW($N$3:N430))),IF(COUNTIF($N$3:N430,"狗")=0,10^9,LOOKUP(2,1/($N$3:N430="狗"),ROW($N$3:N430))),IF(COUNTIF($N$3:N430,"猪")=0,10^9,LOOKUP(2,1/($N$3:N430="猪"),ROW($N$3:N430))))-ROW($N$3)+1),""))),0,IF(ISNUMBER(J430),J430+1,1)))</f>
        <v/>
      </c>
      <c r="K431" s="5" t="e">
        <f t="shared" si="42"/>
        <v>#N/A</v>
      </c>
      <c r="M431" s="6" t="str">
        <f t="shared" si="38"/>
        <v/>
      </c>
      <c r="N431" s="2" t="e">
        <f t="shared" si="39"/>
        <v>#N/A</v>
      </c>
      <c r="O431" s="7" t="str">
        <f>IF(M431="","",IF(COUNTIF(M432:$M$1000,M431)&gt;0,"",M431))</f>
        <v/>
      </c>
      <c r="P431" s="8" t="e">
        <f>IF(N431="","",IF(COUNTIF(N432:$N$1000,N431)&gt;0,"",N431))</f>
        <v>#N/A</v>
      </c>
      <c r="Q431" s="21" t="e">
        <f t="shared" si="40"/>
        <v>#NUM!</v>
      </c>
      <c r="R431" s="22" t="e">
        <f t="shared" si="41"/>
        <v>#NUM!</v>
      </c>
      <c r="S431" s="11"/>
      <c r="T431" s="11"/>
      <c r="U431" s="11"/>
      <c r="W431" s="11"/>
      <c r="X431" s="2"/>
      <c r="Y431" s="2"/>
    </row>
    <row r="432" s="1" customFormat="1" spans="1:25">
      <c r="A432" s="2">
        <v>115057067</v>
      </c>
      <c r="B432" s="2"/>
      <c r="C432" s="2"/>
      <c r="D432" s="2"/>
      <c r="E432" s="2"/>
      <c r="F432" s="2"/>
      <c r="G432" s="2"/>
      <c r="H432" s="3"/>
      <c r="I432" s="2" t="e">
        <f t="shared" si="37"/>
        <v>#N/A</v>
      </c>
      <c r="J432" s="4" t="str">
        <f>IF(H432="","",IF(OR(AND(M432&lt;&gt;"",M432=IFERROR(INDEX($M$3:M431,MIN(IF(COUNTIF($M$3:M431,"0")=0,10^9,LOOKUP(2,1/($M$3:M431="0"),ROW($M$3:M431))),IF(COUNTIF($M$3:M431,"1")=0,10^9,LOOKUP(2,1/($M$3:M431="1"),ROW($M$3:M431))),IF(COUNTIF($M$3:M431,"2")=0,10^9,LOOKUP(2,1/($M$3:M431="2"),ROW($M$3:M431))),IF(COUNTIF($M$3:M431,"3")=0,10^9,LOOKUP(2,1/($M$3:M431="3"),ROW($M$3:M431))),IF(COUNTIF($M$3:M431,"4")=0,10^9,LOOKUP(2,1/($M$3:M431="4"),ROW($M$3:M431))),IF(COUNTIF($M$3:M431,"5")=0,10^9,LOOKUP(2,1/($M$3:M431="5"),ROW($M$3:M431))),IF(COUNTIF($M$3:M431,"6")=0,10^9,LOOKUP(2,1/($M$3:M431="6"),ROW($M$3:M431))),IF(COUNTIF($M$3:M431,"7")=0,10^9,LOOKUP(2,1/($M$3:M431="7"),ROW($M$3:M431))),IF(COUNTIF($M$3:M431,"8")=0,10^9,LOOKUP(2,1/($M$3:M431="8"),ROW($M$3:M431))),IF(COUNTIF($M$3:M431,"9")=0,10^9,LOOKUP(2,1/($M$3:M431="9"),ROW($M$3:M431))))-ROW($M$3)+1),"")),AND(N432&lt;&gt;"",N432=IFERROR(INDEX($N$3:N431,MIN(IF(COUNTIF($N$3:N431,"鼠")=0,10^9,LOOKUP(2,1/($N$3:N431="鼠"),ROW($N$3:N431))),IF(COUNTIF($N$3:N431,"牛")=0,10^9,LOOKUP(2,1/($N$3:N431="牛"),ROW($N$3:N431))),IF(COUNTIF($N$3:N431,"虎")=0,10^9,LOOKUP(2,1/($N$3:N431="虎"),ROW($N$3:N431))),IF(COUNTIF($N$3:N431,"兔")=0,10^9,LOOKUP(2,1/($N$3:N431="兔"),ROW($N$3:N431))),IF(COUNTIF($N$3:N431,"龙")=0,10^9,LOOKUP(2,1/($N$3:N431="龙"),ROW($N$3:N431))),IF(COUNTIF($N$3:N431,"蛇")=0,10^9,LOOKUP(2,1/($N$3:N431="蛇"),ROW($N$3:N431))),IF(COUNTIF($N$3:N431,"马")=0,10^9,LOOKUP(2,1/($N$3:N431="马"),ROW($N$3:N431))),IF(COUNTIF($N$3:N431,"羊")=0,10^9,LOOKUP(2,1/($N$3:N431="羊"),ROW($N$3:N431))),IF(COUNTIF($N$3:N431,"猴")=0,10^9,LOOKUP(2,1/($N$3:N431="猴"),ROW($N$3:N431))),IF(COUNTIF($N$3:N431,"鸡")=0,10^9,LOOKUP(2,1/($N$3:N431="鸡"),ROW($N$3:N431))),IF(COUNTIF($N$3:N431,"狗")=0,10^9,LOOKUP(2,1/($N$3:N431="狗"),ROW($N$3:N431))),IF(COUNTIF($N$3:N431,"猪")=0,10^9,LOOKUP(2,1/($N$3:N431="猪"),ROW($N$3:N431))))-ROW($N$3)+1),""))),0,IF(ISNUMBER(J431),J431+1,1)))</f>
        <v/>
      </c>
      <c r="K432" s="5" t="e">
        <f t="shared" si="42"/>
        <v>#N/A</v>
      </c>
      <c r="M432" s="6" t="str">
        <f t="shared" si="38"/>
        <v/>
      </c>
      <c r="N432" s="2" t="e">
        <f t="shared" si="39"/>
        <v>#N/A</v>
      </c>
      <c r="O432" s="7" t="str">
        <f>IF(M432="","",IF(COUNTIF(M433:$M$1000,M432)&gt;0,"",M432))</f>
        <v/>
      </c>
      <c r="P432" s="8" t="e">
        <f>IF(N432="","",IF(COUNTIF(N433:$N$1000,N432)&gt;0,"",N432))</f>
        <v>#N/A</v>
      </c>
      <c r="Q432" s="21" t="e">
        <f t="shared" si="40"/>
        <v>#NUM!</v>
      </c>
      <c r="R432" s="22" t="e">
        <f t="shared" si="41"/>
        <v>#NUM!</v>
      </c>
      <c r="S432" s="11"/>
      <c r="T432" s="11"/>
      <c r="U432" s="11"/>
      <c r="W432" s="11"/>
      <c r="X432" s="2"/>
      <c r="Y432" s="2"/>
    </row>
    <row r="433" s="1" customFormat="1" spans="1:25">
      <c r="A433" s="2">
        <v>115057068</v>
      </c>
      <c r="B433" s="2"/>
      <c r="C433" s="2"/>
      <c r="D433" s="2"/>
      <c r="E433" s="2"/>
      <c r="F433" s="2"/>
      <c r="G433" s="2"/>
      <c r="H433" s="3"/>
      <c r="I433" s="2" t="e">
        <f t="shared" si="37"/>
        <v>#N/A</v>
      </c>
      <c r="J433" s="4" t="str">
        <f>IF(H433="","",IF(OR(AND(M433&lt;&gt;"",M433=IFERROR(INDEX($M$3:M432,MIN(IF(COUNTIF($M$3:M432,"0")=0,10^9,LOOKUP(2,1/($M$3:M432="0"),ROW($M$3:M432))),IF(COUNTIF($M$3:M432,"1")=0,10^9,LOOKUP(2,1/($M$3:M432="1"),ROW($M$3:M432))),IF(COUNTIF($M$3:M432,"2")=0,10^9,LOOKUP(2,1/($M$3:M432="2"),ROW($M$3:M432))),IF(COUNTIF($M$3:M432,"3")=0,10^9,LOOKUP(2,1/($M$3:M432="3"),ROW($M$3:M432))),IF(COUNTIF($M$3:M432,"4")=0,10^9,LOOKUP(2,1/($M$3:M432="4"),ROW($M$3:M432))),IF(COUNTIF($M$3:M432,"5")=0,10^9,LOOKUP(2,1/($M$3:M432="5"),ROW($M$3:M432))),IF(COUNTIF($M$3:M432,"6")=0,10^9,LOOKUP(2,1/($M$3:M432="6"),ROW($M$3:M432))),IF(COUNTIF($M$3:M432,"7")=0,10^9,LOOKUP(2,1/($M$3:M432="7"),ROW($M$3:M432))),IF(COUNTIF($M$3:M432,"8")=0,10^9,LOOKUP(2,1/($M$3:M432="8"),ROW($M$3:M432))),IF(COUNTIF($M$3:M432,"9")=0,10^9,LOOKUP(2,1/($M$3:M432="9"),ROW($M$3:M432))))-ROW($M$3)+1),"")),AND(N433&lt;&gt;"",N433=IFERROR(INDEX($N$3:N432,MIN(IF(COUNTIF($N$3:N432,"鼠")=0,10^9,LOOKUP(2,1/($N$3:N432="鼠"),ROW($N$3:N432))),IF(COUNTIF($N$3:N432,"牛")=0,10^9,LOOKUP(2,1/($N$3:N432="牛"),ROW($N$3:N432))),IF(COUNTIF($N$3:N432,"虎")=0,10^9,LOOKUP(2,1/($N$3:N432="虎"),ROW($N$3:N432))),IF(COUNTIF($N$3:N432,"兔")=0,10^9,LOOKUP(2,1/($N$3:N432="兔"),ROW($N$3:N432))),IF(COUNTIF($N$3:N432,"龙")=0,10^9,LOOKUP(2,1/($N$3:N432="龙"),ROW($N$3:N432))),IF(COUNTIF($N$3:N432,"蛇")=0,10^9,LOOKUP(2,1/($N$3:N432="蛇"),ROW($N$3:N432))),IF(COUNTIF($N$3:N432,"马")=0,10^9,LOOKUP(2,1/($N$3:N432="马"),ROW($N$3:N432))),IF(COUNTIF($N$3:N432,"羊")=0,10^9,LOOKUP(2,1/($N$3:N432="羊"),ROW($N$3:N432))),IF(COUNTIF($N$3:N432,"猴")=0,10^9,LOOKUP(2,1/($N$3:N432="猴"),ROW($N$3:N432))),IF(COUNTIF($N$3:N432,"鸡")=0,10^9,LOOKUP(2,1/($N$3:N432="鸡"),ROW($N$3:N432))),IF(COUNTIF($N$3:N432,"狗")=0,10^9,LOOKUP(2,1/($N$3:N432="狗"),ROW($N$3:N432))),IF(COUNTIF($N$3:N432,"猪")=0,10^9,LOOKUP(2,1/($N$3:N432="猪"),ROW($N$3:N432))))-ROW($N$3)+1),""))),0,IF(ISNUMBER(J432),J432+1,1)))</f>
        <v/>
      </c>
      <c r="K433" s="5" t="e">
        <f t="shared" si="42"/>
        <v>#N/A</v>
      </c>
      <c r="M433" s="6" t="str">
        <f t="shared" si="38"/>
        <v/>
      </c>
      <c r="N433" s="2" t="e">
        <f t="shared" si="39"/>
        <v>#N/A</v>
      </c>
      <c r="O433" s="7" t="str">
        <f>IF(M433="","",IF(COUNTIF(M434:$M$1000,M433)&gt;0,"",M433))</f>
        <v/>
      </c>
      <c r="P433" s="8" t="e">
        <f>IF(N433="","",IF(COUNTIF(N434:$N$1000,N433)&gt;0,"",N433))</f>
        <v>#N/A</v>
      </c>
      <c r="Q433" s="21" t="e">
        <f t="shared" si="40"/>
        <v>#NUM!</v>
      </c>
      <c r="R433" s="22" t="e">
        <f t="shared" si="41"/>
        <v>#NUM!</v>
      </c>
      <c r="S433" s="11"/>
      <c r="T433" s="11"/>
      <c r="U433" s="11"/>
      <c r="W433" s="11"/>
      <c r="X433" s="2"/>
      <c r="Y433" s="2"/>
    </row>
    <row r="434" s="1" customFormat="1" spans="1:25">
      <c r="A434" s="2">
        <v>115057069</v>
      </c>
      <c r="B434" s="2"/>
      <c r="C434" s="2"/>
      <c r="D434" s="2"/>
      <c r="E434" s="2"/>
      <c r="F434" s="2"/>
      <c r="G434" s="2"/>
      <c r="H434" s="3"/>
      <c r="I434" s="2" t="e">
        <f t="shared" si="37"/>
        <v>#N/A</v>
      </c>
      <c r="J434" s="4" t="str">
        <f>IF(H434="","",IF(OR(AND(M434&lt;&gt;"",M434=IFERROR(INDEX($M$3:M433,MIN(IF(COUNTIF($M$3:M433,"0")=0,10^9,LOOKUP(2,1/($M$3:M433="0"),ROW($M$3:M433))),IF(COUNTIF($M$3:M433,"1")=0,10^9,LOOKUP(2,1/($M$3:M433="1"),ROW($M$3:M433))),IF(COUNTIF($M$3:M433,"2")=0,10^9,LOOKUP(2,1/($M$3:M433="2"),ROW($M$3:M433))),IF(COUNTIF($M$3:M433,"3")=0,10^9,LOOKUP(2,1/($M$3:M433="3"),ROW($M$3:M433))),IF(COUNTIF($M$3:M433,"4")=0,10^9,LOOKUP(2,1/($M$3:M433="4"),ROW($M$3:M433))),IF(COUNTIF($M$3:M433,"5")=0,10^9,LOOKUP(2,1/($M$3:M433="5"),ROW($M$3:M433))),IF(COUNTIF($M$3:M433,"6")=0,10^9,LOOKUP(2,1/($M$3:M433="6"),ROW($M$3:M433))),IF(COUNTIF($M$3:M433,"7")=0,10^9,LOOKUP(2,1/($M$3:M433="7"),ROW($M$3:M433))),IF(COUNTIF($M$3:M433,"8")=0,10^9,LOOKUP(2,1/($M$3:M433="8"),ROW($M$3:M433))),IF(COUNTIF($M$3:M433,"9")=0,10^9,LOOKUP(2,1/($M$3:M433="9"),ROW($M$3:M433))))-ROW($M$3)+1),"")),AND(N434&lt;&gt;"",N434=IFERROR(INDEX($N$3:N433,MIN(IF(COUNTIF($N$3:N433,"鼠")=0,10^9,LOOKUP(2,1/($N$3:N433="鼠"),ROW($N$3:N433))),IF(COUNTIF($N$3:N433,"牛")=0,10^9,LOOKUP(2,1/($N$3:N433="牛"),ROW($N$3:N433))),IF(COUNTIF($N$3:N433,"虎")=0,10^9,LOOKUP(2,1/($N$3:N433="虎"),ROW($N$3:N433))),IF(COUNTIF($N$3:N433,"兔")=0,10^9,LOOKUP(2,1/($N$3:N433="兔"),ROW($N$3:N433))),IF(COUNTIF($N$3:N433,"龙")=0,10^9,LOOKUP(2,1/($N$3:N433="龙"),ROW($N$3:N433))),IF(COUNTIF($N$3:N433,"蛇")=0,10^9,LOOKUP(2,1/($N$3:N433="蛇"),ROW($N$3:N433))),IF(COUNTIF($N$3:N433,"马")=0,10^9,LOOKUP(2,1/($N$3:N433="马"),ROW($N$3:N433))),IF(COUNTIF($N$3:N433,"羊")=0,10^9,LOOKUP(2,1/($N$3:N433="羊"),ROW($N$3:N433))),IF(COUNTIF($N$3:N433,"猴")=0,10^9,LOOKUP(2,1/($N$3:N433="猴"),ROW($N$3:N433))),IF(COUNTIF($N$3:N433,"鸡")=0,10^9,LOOKUP(2,1/($N$3:N433="鸡"),ROW($N$3:N433))),IF(COUNTIF($N$3:N433,"狗")=0,10^9,LOOKUP(2,1/($N$3:N433="狗"),ROW($N$3:N433))),IF(COUNTIF($N$3:N433,"猪")=0,10^9,LOOKUP(2,1/($N$3:N433="猪"),ROW($N$3:N433))))-ROW($N$3)+1),""))),0,IF(ISNUMBER(J433),J433+1,1)))</f>
        <v/>
      </c>
      <c r="K434" s="5" t="e">
        <f t="shared" si="42"/>
        <v>#N/A</v>
      </c>
      <c r="M434" s="6" t="str">
        <f t="shared" si="38"/>
        <v/>
      </c>
      <c r="N434" s="2" t="e">
        <f t="shared" si="39"/>
        <v>#N/A</v>
      </c>
      <c r="O434" s="7" t="str">
        <f>IF(M434="","",IF(COUNTIF(M435:$M$1000,M434)&gt;0,"",M434))</f>
        <v/>
      </c>
      <c r="P434" s="8" t="e">
        <f>IF(N434="","",IF(COUNTIF(N435:$N$1000,N434)&gt;0,"",N434))</f>
        <v>#N/A</v>
      </c>
      <c r="Q434" s="21" t="e">
        <f t="shared" si="40"/>
        <v>#NUM!</v>
      </c>
      <c r="R434" s="22" t="e">
        <f t="shared" si="41"/>
        <v>#NUM!</v>
      </c>
      <c r="S434" s="11"/>
      <c r="T434" s="11"/>
      <c r="U434" s="11"/>
      <c r="W434" s="11"/>
      <c r="X434" s="2"/>
      <c r="Y434" s="2"/>
    </row>
    <row r="435" s="1" customFormat="1" spans="1:25">
      <c r="A435" s="2">
        <v>115057070</v>
      </c>
      <c r="B435" s="2"/>
      <c r="C435" s="2"/>
      <c r="D435" s="2"/>
      <c r="E435" s="2"/>
      <c r="F435" s="2"/>
      <c r="G435" s="2"/>
      <c r="H435" s="3"/>
      <c r="I435" s="2" t="e">
        <f t="shared" si="37"/>
        <v>#N/A</v>
      </c>
      <c r="J435" s="4" t="str">
        <f>IF(H435="","",IF(OR(AND(M435&lt;&gt;"",M435=IFERROR(INDEX($M$3:M434,MIN(IF(COUNTIF($M$3:M434,"0")=0,10^9,LOOKUP(2,1/($M$3:M434="0"),ROW($M$3:M434))),IF(COUNTIF($M$3:M434,"1")=0,10^9,LOOKUP(2,1/($M$3:M434="1"),ROW($M$3:M434))),IF(COUNTIF($M$3:M434,"2")=0,10^9,LOOKUP(2,1/($M$3:M434="2"),ROW($M$3:M434))),IF(COUNTIF($M$3:M434,"3")=0,10^9,LOOKUP(2,1/($M$3:M434="3"),ROW($M$3:M434))),IF(COUNTIF($M$3:M434,"4")=0,10^9,LOOKUP(2,1/($M$3:M434="4"),ROW($M$3:M434))),IF(COUNTIF($M$3:M434,"5")=0,10^9,LOOKUP(2,1/($M$3:M434="5"),ROW($M$3:M434))),IF(COUNTIF($M$3:M434,"6")=0,10^9,LOOKUP(2,1/($M$3:M434="6"),ROW($M$3:M434))),IF(COUNTIF($M$3:M434,"7")=0,10^9,LOOKUP(2,1/($M$3:M434="7"),ROW($M$3:M434))),IF(COUNTIF($M$3:M434,"8")=0,10^9,LOOKUP(2,1/($M$3:M434="8"),ROW($M$3:M434))),IF(COUNTIF($M$3:M434,"9")=0,10^9,LOOKUP(2,1/($M$3:M434="9"),ROW($M$3:M434))))-ROW($M$3)+1),"")),AND(N435&lt;&gt;"",N435=IFERROR(INDEX($N$3:N434,MIN(IF(COUNTIF($N$3:N434,"鼠")=0,10^9,LOOKUP(2,1/($N$3:N434="鼠"),ROW($N$3:N434))),IF(COUNTIF($N$3:N434,"牛")=0,10^9,LOOKUP(2,1/($N$3:N434="牛"),ROW($N$3:N434))),IF(COUNTIF($N$3:N434,"虎")=0,10^9,LOOKUP(2,1/($N$3:N434="虎"),ROW($N$3:N434))),IF(COUNTIF($N$3:N434,"兔")=0,10^9,LOOKUP(2,1/($N$3:N434="兔"),ROW($N$3:N434))),IF(COUNTIF($N$3:N434,"龙")=0,10^9,LOOKUP(2,1/($N$3:N434="龙"),ROW($N$3:N434))),IF(COUNTIF($N$3:N434,"蛇")=0,10^9,LOOKUP(2,1/($N$3:N434="蛇"),ROW($N$3:N434))),IF(COUNTIF($N$3:N434,"马")=0,10^9,LOOKUP(2,1/($N$3:N434="马"),ROW($N$3:N434))),IF(COUNTIF($N$3:N434,"羊")=0,10^9,LOOKUP(2,1/($N$3:N434="羊"),ROW($N$3:N434))),IF(COUNTIF($N$3:N434,"猴")=0,10^9,LOOKUP(2,1/($N$3:N434="猴"),ROW($N$3:N434))),IF(COUNTIF($N$3:N434,"鸡")=0,10^9,LOOKUP(2,1/($N$3:N434="鸡"),ROW($N$3:N434))),IF(COUNTIF($N$3:N434,"狗")=0,10^9,LOOKUP(2,1/($N$3:N434="狗"),ROW($N$3:N434))),IF(COUNTIF($N$3:N434,"猪")=0,10^9,LOOKUP(2,1/($N$3:N434="猪"),ROW($N$3:N434))))-ROW($N$3)+1),""))),0,IF(ISNUMBER(J434),J434+1,1)))</f>
        <v/>
      </c>
      <c r="K435" s="5" t="e">
        <f t="shared" si="42"/>
        <v>#N/A</v>
      </c>
      <c r="M435" s="6" t="str">
        <f t="shared" si="38"/>
        <v/>
      </c>
      <c r="N435" s="2" t="e">
        <f t="shared" si="39"/>
        <v>#N/A</v>
      </c>
      <c r="O435" s="7" t="str">
        <f>IF(M435="","",IF(COUNTIF(M436:$M$1000,M435)&gt;0,"",M435))</f>
        <v/>
      </c>
      <c r="P435" s="8" t="e">
        <f>IF(N435="","",IF(COUNTIF(N436:$N$1000,N435)&gt;0,"",N435))</f>
        <v>#N/A</v>
      </c>
      <c r="Q435" s="21" t="e">
        <f t="shared" si="40"/>
        <v>#NUM!</v>
      </c>
      <c r="R435" s="22" t="e">
        <f t="shared" si="41"/>
        <v>#NUM!</v>
      </c>
      <c r="S435" s="11"/>
      <c r="T435" s="11"/>
      <c r="U435" s="11"/>
      <c r="W435" s="11"/>
      <c r="X435" s="2"/>
      <c r="Y435" s="2"/>
    </row>
    <row r="436" s="1" customFormat="1" spans="1:25">
      <c r="A436" s="2">
        <v>115057071</v>
      </c>
      <c r="B436" s="2"/>
      <c r="C436" s="2"/>
      <c r="D436" s="2"/>
      <c r="E436" s="2"/>
      <c r="F436" s="2"/>
      <c r="G436" s="2"/>
      <c r="H436" s="3"/>
      <c r="I436" s="2" t="e">
        <f t="shared" si="37"/>
        <v>#N/A</v>
      </c>
      <c r="J436" s="4" t="str">
        <f>IF(H436="","",IF(OR(AND(M436&lt;&gt;"",M436=IFERROR(INDEX($M$3:M435,MIN(IF(COUNTIF($M$3:M435,"0")=0,10^9,LOOKUP(2,1/($M$3:M435="0"),ROW($M$3:M435))),IF(COUNTIF($M$3:M435,"1")=0,10^9,LOOKUP(2,1/($M$3:M435="1"),ROW($M$3:M435))),IF(COUNTIF($M$3:M435,"2")=0,10^9,LOOKUP(2,1/($M$3:M435="2"),ROW($M$3:M435))),IF(COUNTIF($M$3:M435,"3")=0,10^9,LOOKUP(2,1/($M$3:M435="3"),ROW($M$3:M435))),IF(COUNTIF($M$3:M435,"4")=0,10^9,LOOKUP(2,1/($M$3:M435="4"),ROW($M$3:M435))),IF(COUNTIF($M$3:M435,"5")=0,10^9,LOOKUP(2,1/($M$3:M435="5"),ROW($M$3:M435))),IF(COUNTIF($M$3:M435,"6")=0,10^9,LOOKUP(2,1/($M$3:M435="6"),ROW($M$3:M435))),IF(COUNTIF($M$3:M435,"7")=0,10^9,LOOKUP(2,1/($M$3:M435="7"),ROW($M$3:M435))),IF(COUNTIF($M$3:M435,"8")=0,10^9,LOOKUP(2,1/($M$3:M435="8"),ROW($M$3:M435))),IF(COUNTIF($M$3:M435,"9")=0,10^9,LOOKUP(2,1/($M$3:M435="9"),ROW($M$3:M435))))-ROW($M$3)+1),"")),AND(N436&lt;&gt;"",N436=IFERROR(INDEX($N$3:N435,MIN(IF(COUNTIF($N$3:N435,"鼠")=0,10^9,LOOKUP(2,1/($N$3:N435="鼠"),ROW($N$3:N435))),IF(COUNTIF($N$3:N435,"牛")=0,10^9,LOOKUP(2,1/($N$3:N435="牛"),ROW($N$3:N435))),IF(COUNTIF($N$3:N435,"虎")=0,10^9,LOOKUP(2,1/($N$3:N435="虎"),ROW($N$3:N435))),IF(COUNTIF($N$3:N435,"兔")=0,10^9,LOOKUP(2,1/($N$3:N435="兔"),ROW($N$3:N435))),IF(COUNTIF($N$3:N435,"龙")=0,10^9,LOOKUP(2,1/($N$3:N435="龙"),ROW($N$3:N435))),IF(COUNTIF($N$3:N435,"蛇")=0,10^9,LOOKUP(2,1/($N$3:N435="蛇"),ROW($N$3:N435))),IF(COUNTIF($N$3:N435,"马")=0,10^9,LOOKUP(2,1/($N$3:N435="马"),ROW($N$3:N435))),IF(COUNTIF($N$3:N435,"羊")=0,10^9,LOOKUP(2,1/($N$3:N435="羊"),ROW($N$3:N435))),IF(COUNTIF($N$3:N435,"猴")=0,10^9,LOOKUP(2,1/($N$3:N435="猴"),ROW($N$3:N435))),IF(COUNTIF($N$3:N435,"鸡")=0,10^9,LOOKUP(2,1/($N$3:N435="鸡"),ROW($N$3:N435))),IF(COUNTIF($N$3:N435,"狗")=0,10^9,LOOKUP(2,1/($N$3:N435="狗"),ROW($N$3:N435))),IF(COUNTIF($N$3:N435,"猪")=0,10^9,LOOKUP(2,1/($N$3:N435="猪"),ROW($N$3:N435))))-ROW($N$3)+1),""))),0,IF(ISNUMBER(J435),J435+1,1)))</f>
        <v/>
      </c>
      <c r="K436" s="5" t="e">
        <f t="shared" si="42"/>
        <v>#N/A</v>
      </c>
      <c r="M436" s="6" t="str">
        <f t="shared" si="38"/>
        <v/>
      </c>
      <c r="N436" s="2" t="e">
        <f t="shared" si="39"/>
        <v>#N/A</v>
      </c>
      <c r="O436" s="7" t="str">
        <f>IF(M436="","",IF(COUNTIF(M437:$M$1000,M436)&gt;0,"",M436))</f>
        <v/>
      </c>
      <c r="P436" s="8" t="e">
        <f>IF(N436="","",IF(COUNTIF(N437:$N$1000,N436)&gt;0,"",N436))</f>
        <v>#N/A</v>
      </c>
      <c r="Q436" s="21" t="e">
        <f t="shared" si="40"/>
        <v>#NUM!</v>
      </c>
      <c r="R436" s="22" t="e">
        <f t="shared" si="41"/>
        <v>#NUM!</v>
      </c>
      <c r="S436" s="11"/>
      <c r="T436" s="11"/>
      <c r="U436" s="11"/>
      <c r="W436" s="11"/>
      <c r="X436" s="2"/>
      <c r="Y436" s="2"/>
    </row>
    <row r="437" s="1" customFormat="1" spans="1:25">
      <c r="A437" s="2">
        <v>115057072</v>
      </c>
      <c r="B437" s="2"/>
      <c r="C437" s="2"/>
      <c r="D437" s="2"/>
      <c r="E437" s="2"/>
      <c r="F437" s="2"/>
      <c r="G437" s="2"/>
      <c r="H437" s="3"/>
      <c r="I437" s="2" t="e">
        <f t="shared" si="37"/>
        <v>#N/A</v>
      </c>
      <c r="J437" s="4" t="str">
        <f>IF(H437="","",IF(OR(AND(M437&lt;&gt;"",M437=IFERROR(INDEX($M$3:M436,MIN(IF(COUNTIF($M$3:M436,"0")=0,10^9,LOOKUP(2,1/($M$3:M436="0"),ROW($M$3:M436))),IF(COUNTIF($M$3:M436,"1")=0,10^9,LOOKUP(2,1/($M$3:M436="1"),ROW($M$3:M436))),IF(COUNTIF($M$3:M436,"2")=0,10^9,LOOKUP(2,1/($M$3:M436="2"),ROW($M$3:M436))),IF(COUNTIF($M$3:M436,"3")=0,10^9,LOOKUP(2,1/($M$3:M436="3"),ROW($M$3:M436))),IF(COUNTIF($M$3:M436,"4")=0,10^9,LOOKUP(2,1/($M$3:M436="4"),ROW($M$3:M436))),IF(COUNTIF($M$3:M436,"5")=0,10^9,LOOKUP(2,1/($M$3:M436="5"),ROW($M$3:M436))),IF(COUNTIF($M$3:M436,"6")=0,10^9,LOOKUP(2,1/($M$3:M436="6"),ROW($M$3:M436))),IF(COUNTIF($M$3:M436,"7")=0,10^9,LOOKUP(2,1/($M$3:M436="7"),ROW($M$3:M436))),IF(COUNTIF($M$3:M436,"8")=0,10^9,LOOKUP(2,1/($M$3:M436="8"),ROW($M$3:M436))),IF(COUNTIF($M$3:M436,"9")=0,10^9,LOOKUP(2,1/($M$3:M436="9"),ROW($M$3:M436))))-ROW($M$3)+1),"")),AND(N437&lt;&gt;"",N437=IFERROR(INDEX($N$3:N436,MIN(IF(COUNTIF($N$3:N436,"鼠")=0,10^9,LOOKUP(2,1/($N$3:N436="鼠"),ROW($N$3:N436))),IF(COUNTIF($N$3:N436,"牛")=0,10^9,LOOKUP(2,1/($N$3:N436="牛"),ROW($N$3:N436))),IF(COUNTIF($N$3:N436,"虎")=0,10^9,LOOKUP(2,1/($N$3:N436="虎"),ROW($N$3:N436))),IF(COUNTIF($N$3:N436,"兔")=0,10^9,LOOKUP(2,1/($N$3:N436="兔"),ROW($N$3:N436))),IF(COUNTIF($N$3:N436,"龙")=0,10^9,LOOKUP(2,1/($N$3:N436="龙"),ROW($N$3:N436))),IF(COUNTIF($N$3:N436,"蛇")=0,10^9,LOOKUP(2,1/($N$3:N436="蛇"),ROW($N$3:N436))),IF(COUNTIF($N$3:N436,"马")=0,10^9,LOOKUP(2,1/($N$3:N436="马"),ROW($N$3:N436))),IF(COUNTIF($N$3:N436,"羊")=0,10^9,LOOKUP(2,1/($N$3:N436="羊"),ROW($N$3:N436))),IF(COUNTIF($N$3:N436,"猴")=0,10^9,LOOKUP(2,1/($N$3:N436="猴"),ROW($N$3:N436))),IF(COUNTIF($N$3:N436,"鸡")=0,10^9,LOOKUP(2,1/($N$3:N436="鸡"),ROW($N$3:N436))),IF(COUNTIF($N$3:N436,"狗")=0,10^9,LOOKUP(2,1/($N$3:N436="狗"),ROW($N$3:N436))),IF(COUNTIF($N$3:N436,"猪")=0,10^9,LOOKUP(2,1/($N$3:N436="猪"),ROW($N$3:N436))))-ROW($N$3)+1),""))),0,IF(ISNUMBER(J436),J436+1,1)))</f>
        <v/>
      </c>
      <c r="K437" s="5" t="e">
        <f t="shared" si="42"/>
        <v>#N/A</v>
      </c>
      <c r="M437" s="6" t="str">
        <f t="shared" si="38"/>
        <v/>
      </c>
      <c r="N437" s="2" t="e">
        <f t="shared" si="39"/>
        <v>#N/A</v>
      </c>
      <c r="O437" s="7" t="str">
        <f>IF(M437="","",IF(COUNTIF(M438:$M$1000,M437)&gt;0,"",M437))</f>
        <v/>
      </c>
      <c r="P437" s="8" t="e">
        <f>IF(N437="","",IF(COUNTIF(N438:$N$1000,N437)&gt;0,"",N437))</f>
        <v>#N/A</v>
      </c>
      <c r="Q437" s="21" t="e">
        <f t="shared" si="40"/>
        <v>#NUM!</v>
      </c>
      <c r="R437" s="22" t="e">
        <f t="shared" si="41"/>
        <v>#NUM!</v>
      </c>
      <c r="S437" s="11"/>
      <c r="T437" s="11"/>
      <c r="U437" s="11"/>
      <c r="W437" s="11"/>
      <c r="X437" s="2"/>
      <c r="Y437" s="2"/>
    </row>
    <row r="438" s="1" customFormat="1" spans="1:25">
      <c r="A438" s="2">
        <v>115057073</v>
      </c>
      <c r="B438" s="2"/>
      <c r="C438" s="2"/>
      <c r="D438" s="2"/>
      <c r="E438" s="2"/>
      <c r="F438" s="2"/>
      <c r="G438" s="2"/>
      <c r="H438" s="3"/>
      <c r="I438" s="2" t="e">
        <f t="shared" si="37"/>
        <v>#N/A</v>
      </c>
      <c r="J438" s="4" t="str">
        <f>IF(H438="","",IF(OR(AND(M438&lt;&gt;"",M438=IFERROR(INDEX($M$3:M437,MIN(IF(COUNTIF($M$3:M437,"0")=0,10^9,LOOKUP(2,1/($M$3:M437="0"),ROW($M$3:M437))),IF(COUNTIF($M$3:M437,"1")=0,10^9,LOOKUP(2,1/($M$3:M437="1"),ROW($M$3:M437))),IF(COUNTIF($M$3:M437,"2")=0,10^9,LOOKUP(2,1/($M$3:M437="2"),ROW($M$3:M437))),IF(COUNTIF($M$3:M437,"3")=0,10^9,LOOKUP(2,1/($M$3:M437="3"),ROW($M$3:M437))),IF(COUNTIF($M$3:M437,"4")=0,10^9,LOOKUP(2,1/($M$3:M437="4"),ROW($M$3:M437))),IF(COUNTIF($M$3:M437,"5")=0,10^9,LOOKUP(2,1/($M$3:M437="5"),ROW($M$3:M437))),IF(COUNTIF($M$3:M437,"6")=0,10^9,LOOKUP(2,1/($M$3:M437="6"),ROW($M$3:M437))),IF(COUNTIF($M$3:M437,"7")=0,10^9,LOOKUP(2,1/($M$3:M437="7"),ROW($M$3:M437))),IF(COUNTIF($M$3:M437,"8")=0,10^9,LOOKUP(2,1/($M$3:M437="8"),ROW($M$3:M437))),IF(COUNTIF($M$3:M437,"9")=0,10^9,LOOKUP(2,1/($M$3:M437="9"),ROW($M$3:M437))))-ROW($M$3)+1),"")),AND(N438&lt;&gt;"",N438=IFERROR(INDEX($N$3:N437,MIN(IF(COUNTIF($N$3:N437,"鼠")=0,10^9,LOOKUP(2,1/($N$3:N437="鼠"),ROW($N$3:N437))),IF(COUNTIF($N$3:N437,"牛")=0,10^9,LOOKUP(2,1/($N$3:N437="牛"),ROW($N$3:N437))),IF(COUNTIF($N$3:N437,"虎")=0,10^9,LOOKUP(2,1/($N$3:N437="虎"),ROW($N$3:N437))),IF(COUNTIF($N$3:N437,"兔")=0,10^9,LOOKUP(2,1/($N$3:N437="兔"),ROW($N$3:N437))),IF(COUNTIF($N$3:N437,"龙")=0,10^9,LOOKUP(2,1/($N$3:N437="龙"),ROW($N$3:N437))),IF(COUNTIF($N$3:N437,"蛇")=0,10^9,LOOKUP(2,1/($N$3:N437="蛇"),ROW($N$3:N437))),IF(COUNTIF($N$3:N437,"马")=0,10^9,LOOKUP(2,1/($N$3:N437="马"),ROW($N$3:N437))),IF(COUNTIF($N$3:N437,"羊")=0,10^9,LOOKUP(2,1/($N$3:N437="羊"),ROW($N$3:N437))),IF(COUNTIF($N$3:N437,"猴")=0,10^9,LOOKUP(2,1/($N$3:N437="猴"),ROW($N$3:N437))),IF(COUNTIF($N$3:N437,"鸡")=0,10^9,LOOKUP(2,1/($N$3:N437="鸡"),ROW($N$3:N437))),IF(COUNTIF($N$3:N437,"狗")=0,10^9,LOOKUP(2,1/($N$3:N437="狗"),ROW($N$3:N437))),IF(COUNTIF($N$3:N437,"猪")=0,10^9,LOOKUP(2,1/($N$3:N437="猪"),ROW($N$3:N437))))-ROW($N$3)+1),""))),0,IF(ISNUMBER(J437),J437+1,1)))</f>
        <v/>
      </c>
      <c r="K438" s="5" t="e">
        <f t="shared" si="42"/>
        <v>#N/A</v>
      </c>
      <c r="M438" s="6" t="str">
        <f t="shared" si="38"/>
        <v/>
      </c>
      <c r="N438" s="2" t="e">
        <f t="shared" si="39"/>
        <v>#N/A</v>
      </c>
      <c r="O438" s="7" t="str">
        <f>IF(M438="","",IF(COUNTIF(M439:$M$1000,M438)&gt;0,"",M438))</f>
        <v/>
      </c>
      <c r="P438" s="8" t="e">
        <f>IF(N438="","",IF(COUNTIF(N439:$N$1000,N438)&gt;0,"",N438))</f>
        <v>#N/A</v>
      </c>
      <c r="Q438" s="21" t="e">
        <f t="shared" si="40"/>
        <v>#NUM!</v>
      </c>
      <c r="R438" s="22" t="e">
        <f t="shared" si="41"/>
        <v>#NUM!</v>
      </c>
      <c r="S438" s="11"/>
      <c r="T438" s="11"/>
      <c r="U438" s="11"/>
      <c r="W438" s="11"/>
      <c r="X438" s="2"/>
      <c r="Y438" s="2"/>
    </row>
    <row r="439" s="1" customFormat="1" spans="1:25">
      <c r="A439" s="2">
        <v>115057074</v>
      </c>
      <c r="B439" s="2"/>
      <c r="C439" s="2"/>
      <c r="D439" s="2"/>
      <c r="E439" s="2"/>
      <c r="F439" s="2"/>
      <c r="G439" s="2"/>
      <c r="H439" s="3"/>
      <c r="I439" s="2" t="e">
        <f t="shared" si="37"/>
        <v>#N/A</v>
      </c>
      <c r="J439" s="4" t="str">
        <f>IF(H439="","",IF(OR(AND(M439&lt;&gt;"",M439=IFERROR(INDEX($M$3:M438,MIN(IF(COUNTIF($M$3:M438,"0")=0,10^9,LOOKUP(2,1/($M$3:M438="0"),ROW($M$3:M438))),IF(COUNTIF($M$3:M438,"1")=0,10^9,LOOKUP(2,1/($M$3:M438="1"),ROW($M$3:M438))),IF(COUNTIF($M$3:M438,"2")=0,10^9,LOOKUP(2,1/($M$3:M438="2"),ROW($M$3:M438))),IF(COUNTIF($M$3:M438,"3")=0,10^9,LOOKUP(2,1/($M$3:M438="3"),ROW($M$3:M438))),IF(COUNTIF($M$3:M438,"4")=0,10^9,LOOKUP(2,1/($M$3:M438="4"),ROW($M$3:M438))),IF(COUNTIF($M$3:M438,"5")=0,10^9,LOOKUP(2,1/($M$3:M438="5"),ROW($M$3:M438))),IF(COUNTIF($M$3:M438,"6")=0,10^9,LOOKUP(2,1/($M$3:M438="6"),ROW($M$3:M438))),IF(COUNTIF($M$3:M438,"7")=0,10^9,LOOKUP(2,1/($M$3:M438="7"),ROW($M$3:M438))),IF(COUNTIF($M$3:M438,"8")=0,10^9,LOOKUP(2,1/($M$3:M438="8"),ROW($M$3:M438))),IF(COUNTIF($M$3:M438,"9")=0,10^9,LOOKUP(2,1/($M$3:M438="9"),ROW($M$3:M438))))-ROW($M$3)+1),"")),AND(N439&lt;&gt;"",N439=IFERROR(INDEX($N$3:N438,MIN(IF(COUNTIF($N$3:N438,"鼠")=0,10^9,LOOKUP(2,1/($N$3:N438="鼠"),ROW($N$3:N438))),IF(COUNTIF($N$3:N438,"牛")=0,10^9,LOOKUP(2,1/($N$3:N438="牛"),ROW($N$3:N438))),IF(COUNTIF($N$3:N438,"虎")=0,10^9,LOOKUP(2,1/($N$3:N438="虎"),ROW($N$3:N438))),IF(COUNTIF($N$3:N438,"兔")=0,10^9,LOOKUP(2,1/($N$3:N438="兔"),ROW($N$3:N438))),IF(COUNTIF($N$3:N438,"龙")=0,10^9,LOOKUP(2,1/($N$3:N438="龙"),ROW($N$3:N438))),IF(COUNTIF($N$3:N438,"蛇")=0,10^9,LOOKUP(2,1/($N$3:N438="蛇"),ROW($N$3:N438))),IF(COUNTIF($N$3:N438,"马")=0,10^9,LOOKUP(2,1/($N$3:N438="马"),ROW($N$3:N438))),IF(COUNTIF($N$3:N438,"羊")=0,10^9,LOOKUP(2,1/($N$3:N438="羊"),ROW($N$3:N438))),IF(COUNTIF($N$3:N438,"猴")=0,10^9,LOOKUP(2,1/($N$3:N438="猴"),ROW($N$3:N438))),IF(COUNTIF($N$3:N438,"鸡")=0,10^9,LOOKUP(2,1/($N$3:N438="鸡"),ROW($N$3:N438))),IF(COUNTIF($N$3:N438,"狗")=0,10^9,LOOKUP(2,1/($N$3:N438="狗"),ROW($N$3:N438))),IF(COUNTIF($N$3:N438,"猪")=0,10^9,LOOKUP(2,1/($N$3:N438="猪"),ROW($N$3:N438))))-ROW($N$3)+1),""))),0,IF(ISNUMBER(J438),J438+1,1)))</f>
        <v/>
      </c>
      <c r="K439" s="5" t="e">
        <f t="shared" si="42"/>
        <v>#N/A</v>
      </c>
      <c r="M439" s="6" t="str">
        <f t="shared" si="38"/>
        <v/>
      </c>
      <c r="N439" s="2" t="e">
        <f t="shared" si="39"/>
        <v>#N/A</v>
      </c>
      <c r="O439" s="7" t="str">
        <f>IF(M439="","",IF(COUNTIF(M440:$M$1000,M439)&gt;0,"",M439))</f>
        <v/>
      </c>
      <c r="P439" s="8" t="e">
        <f>IF(N439="","",IF(COUNTIF(N440:$N$1000,N439)&gt;0,"",N439))</f>
        <v>#N/A</v>
      </c>
      <c r="Q439" s="21" t="e">
        <f t="shared" si="40"/>
        <v>#NUM!</v>
      </c>
      <c r="R439" s="22" t="e">
        <f t="shared" si="41"/>
        <v>#NUM!</v>
      </c>
      <c r="S439" s="11"/>
      <c r="T439" s="11"/>
      <c r="U439" s="11"/>
      <c r="W439" s="11"/>
      <c r="X439" s="2"/>
      <c r="Y439" s="2"/>
    </row>
    <row r="440" s="1" customFormat="1" spans="1:25">
      <c r="A440" s="2">
        <v>115057075</v>
      </c>
      <c r="B440" s="2"/>
      <c r="C440" s="2"/>
      <c r="D440" s="2"/>
      <c r="E440" s="2"/>
      <c r="F440" s="2"/>
      <c r="G440" s="2"/>
      <c r="H440" s="3"/>
      <c r="I440" s="2" t="e">
        <f t="shared" si="37"/>
        <v>#N/A</v>
      </c>
      <c r="J440" s="4" t="str">
        <f>IF(H440="","",IF(OR(AND(M440&lt;&gt;"",M440=IFERROR(INDEX($M$3:M439,MIN(IF(COUNTIF($M$3:M439,"0")=0,10^9,LOOKUP(2,1/($M$3:M439="0"),ROW($M$3:M439))),IF(COUNTIF($M$3:M439,"1")=0,10^9,LOOKUP(2,1/($M$3:M439="1"),ROW($M$3:M439))),IF(COUNTIF($M$3:M439,"2")=0,10^9,LOOKUP(2,1/($M$3:M439="2"),ROW($M$3:M439))),IF(COUNTIF($M$3:M439,"3")=0,10^9,LOOKUP(2,1/($M$3:M439="3"),ROW($M$3:M439))),IF(COUNTIF($M$3:M439,"4")=0,10^9,LOOKUP(2,1/($M$3:M439="4"),ROW($M$3:M439))),IF(COUNTIF($M$3:M439,"5")=0,10^9,LOOKUP(2,1/($M$3:M439="5"),ROW($M$3:M439))),IF(COUNTIF($M$3:M439,"6")=0,10^9,LOOKUP(2,1/($M$3:M439="6"),ROW($M$3:M439))),IF(COUNTIF($M$3:M439,"7")=0,10^9,LOOKUP(2,1/($M$3:M439="7"),ROW($M$3:M439))),IF(COUNTIF($M$3:M439,"8")=0,10^9,LOOKUP(2,1/($M$3:M439="8"),ROW($M$3:M439))),IF(COUNTIF($M$3:M439,"9")=0,10^9,LOOKUP(2,1/($M$3:M439="9"),ROW($M$3:M439))))-ROW($M$3)+1),"")),AND(N440&lt;&gt;"",N440=IFERROR(INDEX($N$3:N439,MIN(IF(COUNTIF($N$3:N439,"鼠")=0,10^9,LOOKUP(2,1/($N$3:N439="鼠"),ROW($N$3:N439))),IF(COUNTIF($N$3:N439,"牛")=0,10^9,LOOKUP(2,1/($N$3:N439="牛"),ROW($N$3:N439))),IF(COUNTIF($N$3:N439,"虎")=0,10^9,LOOKUP(2,1/($N$3:N439="虎"),ROW($N$3:N439))),IF(COUNTIF($N$3:N439,"兔")=0,10^9,LOOKUP(2,1/($N$3:N439="兔"),ROW($N$3:N439))),IF(COUNTIF($N$3:N439,"龙")=0,10^9,LOOKUP(2,1/($N$3:N439="龙"),ROW($N$3:N439))),IF(COUNTIF($N$3:N439,"蛇")=0,10^9,LOOKUP(2,1/($N$3:N439="蛇"),ROW($N$3:N439))),IF(COUNTIF($N$3:N439,"马")=0,10^9,LOOKUP(2,1/($N$3:N439="马"),ROW($N$3:N439))),IF(COUNTIF($N$3:N439,"羊")=0,10^9,LOOKUP(2,1/($N$3:N439="羊"),ROW($N$3:N439))),IF(COUNTIF($N$3:N439,"猴")=0,10^9,LOOKUP(2,1/($N$3:N439="猴"),ROW($N$3:N439))),IF(COUNTIF($N$3:N439,"鸡")=0,10^9,LOOKUP(2,1/($N$3:N439="鸡"),ROW($N$3:N439))),IF(COUNTIF($N$3:N439,"狗")=0,10^9,LOOKUP(2,1/($N$3:N439="狗"),ROW($N$3:N439))),IF(COUNTIF($N$3:N439,"猪")=0,10^9,LOOKUP(2,1/($N$3:N439="猪"),ROW($N$3:N439))))-ROW($N$3)+1),""))),0,IF(ISNUMBER(J439),J439+1,1)))</f>
        <v/>
      </c>
      <c r="K440" s="5" t="e">
        <f t="shared" si="42"/>
        <v>#N/A</v>
      </c>
      <c r="M440" s="6" t="str">
        <f t="shared" si="38"/>
        <v/>
      </c>
      <c r="N440" s="2" t="e">
        <f t="shared" si="39"/>
        <v>#N/A</v>
      </c>
      <c r="O440" s="7" t="str">
        <f>IF(M440="","",IF(COUNTIF(M441:$M$1000,M440)&gt;0,"",M440))</f>
        <v/>
      </c>
      <c r="P440" s="8" t="e">
        <f>IF(N440="","",IF(COUNTIF(N441:$N$1000,N440)&gt;0,"",N440))</f>
        <v>#N/A</v>
      </c>
      <c r="Q440" s="21" t="e">
        <f t="shared" si="40"/>
        <v>#NUM!</v>
      </c>
      <c r="R440" s="22" t="e">
        <f t="shared" si="41"/>
        <v>#NUM!</v>
      </c>
      <c r="S440" s="11"/>
      <c r="T440" s="11"/>
      <c r="U440" s="11"/>
      <c r="W440" s="11"/>
      <c r="X440" s="2"/>
      <c r="Y440" s="2"/>
    </row>
    <row r="441" s="1" customFormat="1" spans="1:25">
      <c r="A441" s="2">
        <v>115057076</v>
      </c>
      <c r="B441" s="2"/>
      <c r="C441" s="2"/>
      <c r="D441" s="2"/>
      <c r="E441" s="2"/>
      <c r="F441" s="2"/>
      <c r="G441" s="2"/>
      <c r="H441" s="3"/>
      <c r="I441" s="2" t="e">
        <f t="shared" si="37"/>
        <v>#N/A</v>
      </c>
      <c r="J441" s="4" t="str">
        <f>IF(H441="","",IF(OR(AND(M441&lt;&gt;"",M441=IFERROR(INDEX($M$3:M440,MIN(IF(COUNTIF($M$3:M440,"0")=0,10^9,LOOKUP(2,1/($M$3:M440="0"),ROW($M$3:M440))),IF(COUNTIF($M$3:M440,"1")=0,10^9,LOOKUP(2,1/($M$3:M440="1"),ROW($M$3:M440))),IF(COUNTIF($M$3:M440,"2")=0,10^9,LOOKUP(2,1/($M$3:M440="2"),ROW($M$3:M440))),IF(COUNTIF($M$3:M440,"3")=0,10^9,LOOKUP(2,1/($M$3:M440="3"),ROW($M$3:M440))),IF(COUNTIF($M$3:M440,"4")=0,10^9,LOOKUP(2,1/($M$3:M440="4"),ROW($M$3:M440))),IF(COUNTIF($M$3:M440,"5")=0,10^9,LOOKUP(2,1/($M$3:M440="5"),ROW($M$3:M440))),IF(COUNTIF($M$3:M440,"6")=0,10^9,LOOKUP(2,1/($M$3:M440="6"),ROW($M$3:M440))),IF(COUNTIF($M$3:M440,"7")=0,10^9,LOOKUP(2,1/($M$3:M440="7"),ROW($M$3:M440))),IF(COUNTIF($M$3:M440,"8")=0,10^9,LOOKUP(2,1/($M$3:M440="8"),ROW($M$3:M440))),IF(COUNTIF($M$3:M440,"9")=0,10^9,LOOKUP(2,1/($M$3:M440="9"),ROW($M$3:M440))))-ROW($M$3)+1),"")),AND(N441&lt;&gt;"",N441=IFERROR(INDEX($N$3:N440,MIN(IF(COUNTIF($N$3:N440,"鼠")=0,10^9,LOOKUP(2,1/($N$3:N440="鼠"),ROW($N$3:N440))),IF(COUNTIF($N$3:N440,"牛")=0,10^9,LOOKUP(2,1/($N$3:N440="牛"),ROW($N$3:N440))),IF(COUNTIF($N$3:N440,"虎")=0,10^9,LOOKUP(2,1/($N$3:N440="虎"),ROW($N$3:N440))),IF(COUNTIF($N$3:N440,"兔")=0,10^9,LOOKUP(2,1/($N$3:N440="兔"),ROW($N$3:N440))),IF(COUNTIF($N$3:N440,"龙")=0,10^9,LOOKUP(2,1/($N$3:N440="龙"),ROW($N$3:N440))),IF(COUNTIF($N$3:N440,"蛇")=0,10^9,LOOKUP(2,1/($N$3:N440="蛇"),ROW($N$3:N440))),IF(COUNTIF($N$3:N440,"马")=0,10^9,LOOKUP(2,1/($N$3:N440="马"),ROW($N$3:N440))),IF(COUNTIF($N$3:N440,"羊")=0,10^9,LOOKUP(2,1/($N$3:N440="羊"),ROW($N$3:N440))),IF(COUNTIF($N$3:N440,"猴")=0,10^9,LOOKUP(2,1/($N$3:N440="猴"),ROW($N$3:N440))),IF(COUNTIF($N$3:N440,"鸡")=0,10^9,LOOKUP(2,1/($N$3:N440="鸡"),ROW($N$3:N440))),IF(COUNTIF($N$3:N440,"狗")=0,10^9,LOOKUP(2,1/($N$3:N440="狗"),ROW($N$3:N440))),IF(COUNTIF($N$3:N440,"猪")=0,10^9,LOOKUP(2,1/($N$3:N440="猪"),ROW($N$3:N440))))-ROW($N$3)+1),""))),0,IF(ISNUMBER(J440),J440+1,1)))</f>
        <v/>
      </c>
      <c r="K441" s="5" t="e">
        <f t="shared" si="42"/>
        <v>#N/A</v>
      </c>
      <c r="M441" s="6" t="str">
        <f t="shared" si="38"/>
        <v/>
      </c>
      <c r="N441" s="2" t="e">
        <f t="shared" si="39"/>
        <v>#N/A</v>
      </c>
      <c r="O441" s="7" t="str">
        <f>IF(M441="","",IF(COUNTIF(M442:$M$1000,M441)&gt;0,"",M441))</f>
        <v/>
      </c>
      <c r="P441" s="8" t="e">
        <f>IF(N441="","",IF(COUNTIF(N442:$N$1000,N441)&gt;0,"",N441))</f>
        <v>#N/A</v>
      </c>
      <c r="Q441" s="21" t="e">
        <f t="shared" si="40"/>
        <v>#NUM!</v>
      </c>
      <c r="R441" s="22" t="e">
        <f t="shared" si="41"/>
        <v>#NUM!</v>
      </c>
      <c r="S441" s="11"/>
      <c r="T441" s="11"/>
      <c r="U441" s="11"/>
      <c r="W441" s="11"/>
      <c r="X441" s="2"/>
      <c r="Y441" s="2"/>
    </row>
    <row r="442" s="1" customFormat="1" spans="1:25">
      <c r="A442" s="2">
        <v>115057077</v>
      </c>
      <c r="B442" s="2"/>
      <c r="C442" s="2"/>
      <c r="D442" s="2"/>
      <c r="E442" s="2"/>
      <c r="F442" s="2"/>
      <c r="G442" s="2"/>
      <c r="H442" s="3"/>
      <c r="I442" s="2" t="e">
        <f t="shared" si="37"/>
        <v>#N/A</v>
      </c>
      <c r="J442" s="4" t="str">
        <f>IF(H442="","",IF(OR(AND(M442&lt;&gt;"",M442=IFERROR(INDEX($M$3:M441,MIN(IF(COUNTIF($M$3:M441,"0")=0,10^9,LOOKUP(2,1/($M$3:M441="0"),ROW($M$3:M441))),IF(COUNTIF($M$3:M441,"1")=0,10^9,LOOKUP(2,1/($M$3:M441="1"),ROW($M$3:M441))),IF(COUNTIF($M$3:M441,"2")=0,10^9,LOOKUP(2,1/($M$3:M441="2"),ROW($M$3:M441))),IF(COUNTIF($M$3:M441,"3")=0,10^9,LOOKUP(2,1/($M$3:M441="3"),ROW($M$3:M441))),IF(COUNTIF($M$3:M441,"4")=0,10^9,LOOKUP(2,1/($M$3:M441="4"),ROW($M$3:M441))),IF(COUNTIF($M$3:M441,"5")=0,10^9,LOOKUP(2,1/($M$3:M441="5"),ROW($M$3:M441))),IF(COUNTIF($M$3:M441,"6")=0,10^9,LOOKUP(2,1/($M$3:M441="6"),ROW($M$3:M441))),IF(COUNTIF($M$3:M441,"7")=0,10^9,LOOKUP(2,1/($M$3:M441="7"),ROW($M$3:M441))),IF(COUNTIF($M$3:M441,"8")=0,10^9,LOOKUP(2,1/($M$3:M441="8"),ROW($M$3:M441))),IF(COUNTIF($M$3:M441,"9")=0,10^9,LOOKUP(2,1/($M$3:M441="9"),ROW($M$3:M441))))-ROW($M$3)+1),"")),AND(N442&lt;&gt;"",N442=IFERROR(INDEX($N$3:N441,MIN(IF(COUNTIF($N$3:N441,"鼠")=0,10^9,LOOKUP(2,1/($N$3:N441="鼠"),ROW($N$3:N441))),IF(COUNTIF($N$3:N441,"牛")=0,10^9,LOOKUP(2,1/($N$3:N441="牛"),ROW($N$3:N441))),IF(COUNTIF($N$3:N441,"虎")=0,10^9,LOOKUP(2,1/($N$3:N441="虎"),ROW($N$3:N441))),IF(COUNTIF($N$3:N441,"兔")=0,10^9,LOOKUP(2,1/($N$3:N441="兔"),ROW($N$3:N441))),IF(COUNTIF($N$3:N441,"龙")=0,10^9,LOOKUP(2,1/($N$3:N441="龙"),ROW($N$3:N441))),IF(COUNTIF($N$3:N441,"蛇")=0,10^9,LOOKUP(2,1/($N$3:N441="蛇"),ROW($N$3:N441))),IF(COUNTIF($N$3:N441,"马")=0,10^9,LOOKUP(2,1/($N$3:N441="马"),ROW($N$3:N441))),IF(COUNTIF($N$3:N441,"羊")=0,10^9,LOOKUP(2,1/($N$3:N441="羊"),ROW($N$3:N441))),IF(COUNTIF($N$3:N441,"猴")=0,10^9,LOOKUP(2,1/($N$3:N441="猴"),ROW($N$3:N441))),IF(COUNTIF($N$3:N441,"鸡")=0,10^9,LOOKUP(2,1/($N$3:N441="鸡"),ROW($N$3:N441))),IF(COUNTIF($N$3:N441,"狗")=0,10^9,LOOKUP(2,1/($N$3:N441="狗"),ROW($N$3:N441))),IF(COUNTIF($N$3:N441,"猪")=0,10^9,LOOKUP(2,1/($N$3:N441="猪"),ROW($N$3:N441))))-ROW($N$3)+1),""))),0,IF(ISNUMBER(J441),J441+1,1)))</f>
        <v/>
      </c>
      <c r="K442" s="5" t="e">
        <f t="shared" si="42"/>
        <v>#N/A</v>
      </c>
      <c r="M442" s="6" t="str">
        <f t="shared" si="38"/>
        <v/>
      </c>
      <c r="N442" s="2" t="e">
        <f t="shared" si="39"/>
        <v>#N/A</v>
      </c>
      <c r="O442" s="7" t="str">
        <f>IF(M442="","",IF(COUNTIF(M443:$M$1000,M442)&gt;0,"",M442))</f>
        <v/>
      </c>
      <c r="P442" s="8" t="e">
        <f>IF(N442="","",IF(COUNTIF(N443:$N$1000,N442)&gt;0,"",N442))</f>
        <v>#N/A</v>
      </c>
      <c r="Q442" s="21" t="e">
        <f t="shared" si="40"/>
        <v>#NUM!</v>
      </c>
      <c r="R442" s="22" t="e">
        <f t="shared" si="41"/>
        <v>#NUM!</v>
      </c>
      <c r="S442" s="11"/>
      <c r="T442" s="11"/>
      <c r="U442" s="11"/>
      <c r="W442" s="11"/>
      <c r="X442" s="2"/>
      <c r="Y442" s="2"/>
    </row>
    <row r="443" s="1" customFormat="1" spans="1:25">
      <c r="A443" s="2">
        <v>115057078</v>
      </c>
      <c r="B443" s="2"/>
      <c r="C443" s="2"/>
      <c r="D443" s="2"/>
      <c r="E443" s="2"/>
      <c r="F443" s="2"/>
      <c r="G443" s="2"/>
      <c r="H443" s="3"/>
      <c r="I443" s="2" t="e">
        <f t="shared" si="37"/>
        <v>#N/A</v>
      </c>
      <c r="J443" s="4" t="str">
        <f>IF(H443="","",IF(OR(AND(M443&lt;&gt;"",M443=IFERROR(INDEX($M$3:M442,MIN(IF(COUNTIF($M$3:M442,"0")=0,10^9,LOOKUP(2,1/($M$3:M442="0"),ROW($M$3:M442))),IF(COUNTIF($M$3:M442,"1")=0,10^9,LOOKUP(2,1/($M$3:M442="1"),ROW($M$3:M442))),IF(COUNTIF($M$3:M442,"2")=0,10^9,LOOKUP(2,1/($M$3:M442="2"),ROW($M$3:M442))),IF(COUNTIF($M$3:M442,"3")=0,10^9,LOOKUP(2,1/($M$3:M442="3"),ROW($M$3:M442))),IF(COUNTIF($M$3:M442,"4")=0,10^9,LOOKUP(2,1/($M$3:M442="4"),ROW($M$3:M442))),IF(COUNTIF($M$3:M442,"5")=0,10^9,LOOKUP(2,1/($M$3:M442="5"),ROW($M$3:M442))),IF(COUNTIF($M$3:M442,"6")=0,10^9,LOOKUP(2,1/($M$3:M442="6"),ROW($M$3:M442))),IF(COUNTIF($M$3:M442,"7")=0,10^9,LOOKUP(2,1/($M$3:M442="7"),ROW($M$3:M442))),IF(COUNTIF($M$3:M442,"8")=0,10^9,LOOKUP(2,1/($M$3:M442="8"),ROW($M$3:M442))),IF(COUNTIF($M$3:M442,"9")=0,10^9,LOOKUP(2,1/($M$3:M442="9"),ROW($M$3:M442))))-ROW($M$3)+1),"")),AND(N443&lt;&gt;"",N443=IFERROR(INDEX($N$3:N442,MIN(IF(COUNTIF($N$3:N442,"鼠")=0,10^9,LOOKUP(2,1/($N$3:N442="鼠"),ROW($N$3:N442))),IF(COUNTIF($N$3:N442,"牛")=0,10^9,LOOKUP(2,1/($N$3:N442="牛"),ROW($N$3:N442))),IF(COUNTIF($N$3:N442,"虎")=0,10^9,LOOKUP(2,1/($N$3:N442="虎"),ROW($N$3:N442))),IF(COUNTIF($N$3:N442,"兔")=0,10^9,LOOKUP(2,1/($N$3:N442="兔"),ROW($N$3:N442))),IF(COUNTIF($N$3:N442,"龙")=0,10^9,LOOKUP(2,1/($N$3:N442="龙"),ROW($N$3:N442))),IF(COUNTIF($N$3:N442,"蛇")=0,10^9,LOOKUP(2,1/($N$3:N442="蛇"),ROW($N$3:N442))),IF(COUNTIF($N$3:N442,"马")=0,10^9,LOOKUP(2,1/($N$3:N442="马"),ROW($N$3:N442))),IF(COUNTIF($N$3:N442,"羊")=0,10^9,LOOKUP(2,1/($N$3:N442="羊"),ROW($N$3:N442))),IF(COUNTIF($N$3:N442,"猴")=0,10^9,LOOKUP(2,1/($N$3:N442="猴"),ROW($N$3:N442))),IF(COUNTIF($N$3:N442,"鸡")=0,10^9,LOOKUP(2,1/($N$3:N442="鸡"),ROW($N$3:N442))),IF(COUNTIF($N$3:N442,"狗")=0,10^9,LOOKUP(2,1/($N$3:N442="狗"),ROW($N$3:N442))),IF(COUNTIF($N$3:N442,"猪")=0,10^9,LOOKUP(2,1/($N$3:N442="猪"),ROW($N$3:N442))))-ROW($N$3)+1),""))),0,IF(ISNUMBER(J442),J442+1,1)))</f>
        <v/>
      </c>
      <c r="K443" s="5" t="e">
        <f t="shared" si="42"/>
        <v>#N/A</v>
      </c>
      <c r="M443" s="6" t="str">
        <f t="shared" si="38"/>
        <v/>
      </c>
      <c r="N443" s="2" t="e">
        <f t="shared" si="39"/>
        <v>#N/A</v>
      </c>
      <c r="O443" s="7" t="str">
        <f>IF(M443="","",IF(COUNTIF(M444:$M$1000,M443)&gt;0,"",M443))</f>
        <v/>
      </c>
      <c r="P443" s="8" t="e">
        <f>IF(N443="","",IF(COUNTIF(N444:$N$1000,N443)&gt;0,"",N443))</f>
        <v>#N/A</v>
      </c>
      <c r="Q443" s="21" t="e">
        <f t="shared" si="40"/>
        <v>#NUM!</v>
      </c>
      <c r="R443" s="22" t="e">
        <f t="shared" si="41"/>
        <v>#NUM!</v>
      </c>
      <c r="S443" s="11"/>
      <c r="T443" s="11"/>
      <c r="U443" s="11"/>
      <c r="W443" s="11"/>
      <c r="X443" s="2"/>
      <c r="Y443" s="2"/>
    </row>
    <row r="444" s="1" customFormat="1" spans="1:25">
      <c r="A444" s="2">
        <v>115057079</v>
      </c>
      <c r="B444" s="2"/>
      <c r="C444" s="2"/>
      <c r="D444" s="2"/>
      <c r="E444" s="2"/>
      <c r="F444" s="2"/>
      <c r="G444" s="2"/>
      <c r="H444" s="3"/>
      <c r="I444" s="2" t="e">
        <f t="shared" si="37"/>
        <v>#N/A</v>
      </c>
      <c r="J444" s="4" t="str">
        <f>IF(H444="","",IF(OR(AND(M444&lt;&gt;"",M444=IFERROR(INDEX($M$3:M443,MIN(IF(COUNTIF($M$3:M443,"0")=0,10^9,LOOKUP(2,1/($M$3:M443="0"),ROW($M$3:M443))),IF(COUNTIF($M$3:M443,"1")=0,10^9,LOOKUP(2,1/($M$3:M443="1"),ROW($M$3:M443))),IF(COUNTIF($M$3:M443,"2")=0,10^9,LOOKUP(2,1/($M$3:M443="2"),ROW($M$3:M443))),IF(COUNTIF($M$3:M443,"3")=0,10^9,LOOKUP(2,1/($M$3:M443="3"),ROW($M$3:M443))),IF(COUNTIF($M$3:M443,"4")=0,10^9,LOOKUP(2,1/($M$3:M443="4"),ROW($M$3:M443))),IF(COUNTIF($M$3:M443,"5")=0,10^9,LOOKUP(2,1/($M$3:M443="5"),ROW($M$3:M443))),IF(COUNTIF($M$3:M443,"6")=0,10^9,LOOKUP(2,1/($M$3:M443="6"),ROW($M$3:M443))),IF(COUNTIF($M$3:M443,"7")=0,10^9,LOOKUP(2,1/($M$3:M443="7"),ROW($M$3:M443))),IF(COUNTIF($M$3:M443,"8")=0,10^9,LOOKUP(2,1/($M$3:M443="8"),ROW($M$3:M443))),IF(COUNTIF($M$3:M443,"9")=0,10^9,LOOKUP(2,1/($M$3:M443="9"),ROW($M$3:M443))))-ROW($M$3)+1),"")),AND(N444&lt;&gt;"",N444=IFERROR(INDEX($N$3:N443,MIN(IF(COUNTIF($N$3:N443,"鼠")=0,10^9,LOOKUP(2,1/($N$3:N443="鼠"),ROW($N$3:N443))),IF(COUNTIF($N$3:N443,"牛")=0,10^9,LOOKUP(2,1/($N$3:N443="牛"),ROW($N$3:N443))),IF(COUNTIF($N$3:N443,"虎")=0,10^9,LOOKUP(2,1/($N$3:N443="虎"),ROW($N$3:N443))),IF(COUNTIF($N$3:N443,"兔")=0,10^9,LOOKUP(2,1/($N$3:N443="兔"),ROW($N$3:N443))),IF(COUNTIF($N$3:N443,"龙")=0,10^9,LOOKUP(2,1/($N$3:N443="龙"),ROW($N$3:N443))),IF(COUNTIF($N$3:N443,"蛇")=0,10^9,LOOKUP(2,1/($N$3:N443="蛇"),ROW($N$3:N443))),IF(COUNTIF($N$3:N443,"马")=0,10^9,LOOKUP(2,1/($N$3:N443="马"),ROW($N$3:N443))),IF(COUNTIF($N$3:N443,"羊")=0,10^9,LOOKUP(2,1/($N$3:N443="羊"),ROW($N$3:N443))),IF(COUNTIF($N$3:N443,"猴")=0,10^9,LOOKUP(2,1/($N$3:N443="猴"),ROW($N$3:N443))),IF(COUNTIF($N$3:N443,"鸡")=0,10^9,LOOKUP(2,1/($N$3:N443="鸡"),ROW($N$3:N443))),IF(COUNTIF($N$3:N443,"狗")=0,10^9,LOOKUP(2,1/($N$3:N443="狗"),ROW($N$3:N443))),IF(COUNTIF($N$3:N443,"猪")=0,10^9,LOOKUP(2,1/($N$3:N443="猪"),ROW($N$3:N443))))-ROW($N$3)+1),""))),0,IF(ISNUMBER(J443),J443+1,1)))</f>
        <v/>
      </c>
      <c r="K444" s="5" t="e">
        <f t="shared" si="42"/>
        <v>#N/A</v>
      </c>
      <c r="M444" s="6" t="str">
        <f t="shared" si="38"/>
        <v/>
      </c>
      <c r="N444" s="2" t="e">
        <f t="shared" si="39"/>
        <v>#N/A</v>
      </c>
      <c r="O444" s="7" t="str">
        <f>IF(M444="","",IF(COUNTIF(M445:$M$1000,M444)&gt;0,"",M444))</f>
        <v/>
      </c>
      <c r="P444" s="8" t="e">
        <f>IF(N444="","",IF(COUNTIF(N445:$N$1000,N444)&gt;0,"",N444))</f>
        <v>#N/A</v>
      </c>
      <c r="Q444" s="21" t="e">
        <f t="shared" si="40"/>
        <v>#NUM!</v>
      </c>
      <c r="R444" s="22" t="e">
        <f t="shared" si="41"/>
        <v>#NUM!</v>
      </c>
      <c r="S444" s="11"/>
      <c r="T444" s="11"/>
      <c r="U444" s="11"/>
      <c r="W444" s="11"/>
      <c r="X444" s="2"/>
      <c r="Y444" s="2"/>
    </row>
    <row r="445" s="1" customFormat="1" spans="1:25">
      <c r="A445" s="2">
        <v>115057080</v>
      </c>
      <c r="B445" s="2"/>
      <c r="C445" s="2"/>
      <c r="D445" s="2"/>
      <c r="E445" s="2"/>
      <c r="F445" s="2"/>
      <c r="G445" s="2"/>
      <c r="H445" s="3"/>
      <c r="I445" s="2" t="e">
        <f t="shared" si="37"/>
        <v>#N/A</v>
      </c>
      <c r="J445" s="4" t="str">
        <f>IF(H445="","",IF(OR(AND(M445&lt;&gt;"",M445=IFERROR(INDEX($M$3:M444,MIN(IF(COUNTIF($M$3:M444,"0")=0,10^9,LOOKUP(2,1/($M$3:M444="0"),ROW($M$3:M444))),IF(COUNTIF($M$3:M444,"1")=0,10^9,LOOKUP(2,1/($M$3:M444="1"),ROW($M$3:M444))),IF(COUNTIF($M$3:M444,"2")=0,10^9,LOOKUP(2,1/($M$3:M444="2"),ROW($M$3:M444))),IF(COUNTIF($M$3:M444,"3")=0,10^9,LOOKUP(2,1/($M$3:M444="3"),ROW($M$3:M444))),IF(COUNTIF($M$3:M444,"4")=0,10^9,LOOKUP(2,1/($M$3:M444="4"),ROW($M$3:M444))),IF(COUNTIF($M$3:M444,"5")=0,10^9,LOOKUP(2,1/($M$3:M444="5"),ROW($M$3:M444))),IF(COUNTIF($M$3:M444,"6")=0,10^9,LOOKUP(2,1/($M$3:M444="6"),ROW($M$3:M444))),IF(COUNTIF($M$3:M444,"7")=0,10^9,LOOKUP(2,1/($M$3:M444="7"),ROW($M$3:M444))),IF(COUNTIF($M$3:M444,"8")=0,10^9,LOOKUP(2,1/($M$3:M444="8"),ROW($M$3:M444))),IF(COUNTIF($M$3:M444,"9")=0,10^9,LOOKUP(2,1/($M$3:M444="9"),ROW($M$3:M444))))-ROW($M$3)+1),"")),AND(N445&lt;&gt;"",N445=IFERROR(INDEX($N$3:N444,MIN(IF(COUNTIF($N$3:N444,"鼠")=0,10^9,LOOKUP(2,1/($N$3:N444="鼠"),ROW($N$3:N444))),IF(COUNTIF($N$3:N444,"牛")=0,10^9,LOOKUP(2,1/($N$3:N444="牛"),ROW($N$3:N444))),IF(COUNTIF($N$3:N444,"虎")=0,10^9,LOOKUP(2,1/($N$3:N444="虎"),ROW($N$3:N444))),IF(COUNTIF($N$3:N444,"兔")=0,10^9,LOOKUP(2,1/($N$3:N444="兔"),ROW($N$3:N444))),IF(COUNTIF($N$3:N444,"龙")=0,10^9,LOOKUP(2,1/($N$3:N444="龙"),ROW($N$3:N444))),IF(COUNTIF($N$3:N444,"蛇")=0,10^9,LOOKUP(2,1/($N$3:N444="蛇"),ROW($N$3:N444))),IF(COUNTIF($N$3:N444,"马")=0,10^9,LOOKUP(2,1/($N$3:N444="马"),ROW($N$3:N444))),IF(COUNTIF($N$3:N444,"羊")=0,10^9,LOOKUP(2,1/($N$3:N444="羊"),ROW($N$3:N444))),IF(COUNTIF($N$3:N444,"猴")=0,10^9,LOOKUP(2,1/($N$3:N444="猴"),ROW($N$3:N444))),IF(COUNTIF($N$3:N444,"鸡")=0,10^9,LOOKUP(2,1/($N$3:N444="鸡"),ROW($N$3:N444))),IF(COUNTIF($N$3:N444,"狗")=0,10^9,LOOKUP(2,1/($N$3:N444="狗"),ROW($N$3:N444))),IF(COUNTIF($N$3:N444,"猪")=0,10^9,LOOKUP(2,1/($N$3:N444="猪"),ROW($N$3:N444))))-ROW($N$3)+1),""))),0,IF(ISNUMBER(J444),J444+1,1)))</f>
        <v/>
      </c>
      <c r="K445" s="5" t="e">
        <f t="shared" si="42"/>
        <v>#N/A</v>
      </c>
      <c r="M445" s="6" t="str">
        <f t="shared" si="38"/>
        <v/>
      </c>
      <c r="N445" s="2" t="e">
        <f t="shared" si="39"/>
        <v>#N/A</v>
      </c>
      <c r="O445" s="7" t="str">
        <f>IF(M445="","",IF(COUNTIF(M446:$M$1000,M445)&gt;0,"",M445))</f>
        <v/>
      </c>
      <c r="P445" s="8" t="e">
        <f>IF(N445="","",IF(COUNTIF(N446:$N$1000,N445)&gt;0,"",N445))</f>
        <v>#N/A</v>
      </c>
      <c r="Q445" s="21" t="e">
        <f t="shared" si="40"/>
        <v>#NUM!</v>
      </c>
      <c r="R445" s="22" t="e">
        <f t="shared" si="41"/>
        <v>#NUM!</v>
      </c>
      <c r="S445" s="11"/>
      <c r="T445" s="11"/>
      <c r="U445" s="11"/>
      <c r="W445" s="11"/>
      <c r="X445" s="2"/>
      <c r="Y445" s="2"/>
    </row>
    <row r="446" s="1" customFormat="1" spans="1:25">
      <c r="A446" s="2">
        <v>115057081</v>
      </c>
      <c r="B446" s="2"/>
      <c r="C446" s="2"/>
      <c r="D446" s="2"/>
      <c r="E446" s="2"/>
      <c r="F446" s="2"/>
      <c r="G446" s="2"/>
      <c r="H446" s="3"/>
      <c r="I446" s="2" t="e">
        <f t="shared" si="37"/>
        <v>#N/A</v>
      </c>
      <c r="J446" s="4" t="str">
        <f>IF(H446="","",IF(OR(AND(M446&lt;&gt;"",M446=IFERROR(INDEX($M$3:M445,MIN(IF(COUNTIF($M$3:M445,"0")=0,10^9,LOOKUP(2,1/($M$3:M445="0"),ROW($M$3:M445))),IF(COUNTIF($M$3:M445,"1")=0,10^9,LOOKUP(2,1/($M$3:M445="1"),ROW($M$3:M445))),IF(COUNTIF($M$3:M445,"2")=0,10^9,LOOKUP(2,1/($M$3:M445="2"),ROW($M$3:M445))),IF(COUNTIF($M$3:M445,"3")=0,10^9,LOOKUP(2,1/($M$3:M445="3"),ROW($M$3:M445))),IF(COUNTIF($M$3:M445,"4")=0,10^9,LOOKUP(2,1/($M$3:M445="4"),ROW($M$3:M445))),IF(COUNTIF($M$3:M445,"5")=0,10^9,LOOKUP(2,1/($M$3:M445="5"),ROW($M$3:M445))),IF(COUNTIF($M$3:M445,"6")=0,10^9,LOOKUP(2,1/($M$3:M445="6"),ROW($M$3:M445))),IF(COUNTIF($M$3:M445,"7")=0,10^9,LOOKUP(2,1/($M$3:M445="7"),ROW($M$3:M445))),IF(COUNTIF($M$3:M445,"8")=0,10^9,LOOKUP(2,1/($M$3:M445="8"),ROW($M$3:M445))),IF(COUNTIF($M$3:M445,"9")=0,10^9,LOOKUP(2,1/($M$3:M445="9"),ROW($M$3:M445))))-ROW($M$3)+1),"")),AND(N446&lt;&gt;"",N446=IFERROR(INDEX($N$3:N445,MIN(IF(COUNTIF($N$3:N445,"鼠")=0,10^9,LOOKUP(2,1/($N$3:N445="鼠"),ROW($N$3:N445))),IF(COUNTIF($N$3:N445,"牛")=0,10^9,LOOKUP(2,1/($N$3:N445="牛"),ROW($N$3:N445))),IF(COUNTIF($N$3:N445,"虎")=0,10^9,LOOKUP(2,1/($N$3:N445="虎"),ROW($N$3:N445))),IF(COUNTIF($N$3:N445,"兔")=0,10^9,LOOKUP(2,1/($N$3:N445="兔"),ROW($N$3:N445))),IF(COUNTIF($N$3:N445,"龙")=0,10^9,LOOKUP(2,1/($N$3:N445="龙"),ROW($N$3:N445))),IF(COUNTIF($N$3:N445,"蛇")=0,10^9,LOOKUP(2,1/($N$3:N445="蛇"),ROW($N$3:N445))),IF(COUNTIF($N$3:N445,"马")=0,10^9,LOOKUP(2,1/($N$3:N445="马"),ROW($N$3:N445))),IF(COUNTIF($N$3:N445,"羊")=0,10^9,LOOKUP(2,1/($N$3:N445="羊"),ROW($N$3:N445))),IF(COUNTIF($N$3:N445,"猴")=0,10^9,LOOKUP(2,1/($N$3:N445="猴"),ROW($N$3:N445))),IF(COUNTIF($N$3:N445,"鸡")=0,10^9,LOOKUP(2,1/($N$3:N445="鸡"),ROW($N$3:N445))),IF(COUNTIF($N$3:N445,"狗")=0,10^9,LOOKUP(2,1/($N$3:N445="狗"),ROW($N$3:N445))),IF(COUNTIF($N$3:N445,"猪")=0,10^9,LOOKUP(2,1/($N$3:N445="猪"),ROW($N$3:N445))))-ROW($N$3)+1),""))),0,IF(ISNUMBER(J445),J445+1,1)))</f>
        <v/>
      </c>
      <c r="K446" s="5" t="e">
        <f t="shared" si="42"/>
        <v>#N/A</v>
      </c>
      <c r="M446" s="6" t="str">
        <f t="shared" si="38"/>
        <v/>
      </c>
      <c r="N446" s="2" t="e">
        <f t="shared" si="39"/>
        <v>#N/A</v>
      </c>
      <c r="O446" s="7" t="str">
        <f>IF(M446="","",IF(COUNTIF(M447:$M$1000,M446)&gt;0,"",M446))</f>
        <v/>
      </c>
      <c r="P446" s="8" t="e">
        <f>IF(N446="","",IF(COUNTIF(N447:$N$1000,N446)&gt;0,"",N446))</f>
        <v>#N/A</v>
      </c>
      <c r="Q446" s="21" t="e">
        <f t="shared" si="40"/>
        <v>#NUM!</v>
      </c>
      <c r="R446" s="22" t="e">
        <f t="shared" si="41"/>
        <v>#NUM!</v>
      </c>
      <c r="S446" s="11"/>
      <c r="T446" s="11"/>
      <c r="U446" s="11"/>
      <c r="W446" s="11"/>
      <c r="X446" s="2"/>
      <c r="Y446" s="2"/>
    </row>
    <row r="447" s="1" customFormat="1" spans="1:25">
      <c r="A447" s="2">
        <v>115057082</v>
      </c>
      <c r="B447" s="2"/>
      <c r="C447" s="2"/>
      <c r="D447" s="2"/>
      <c r="E447" s="2"/>
      <c r="F447" s="2"/>
      <c r="G447" s="2"/>
      <c r="H447" s="3"/>
      <c r="I447" s="2" t="e">
        <f t="shared" si="37"/>
        <v>#N/A</v>
      </c>
      <c r="J447" s="4" t="str">
        <f>IF(H447="","",IF(OR(AND(M447&lt;&gt;"",M447=IFERROR(INDEX($M$3:M446,MIN(IF(COUNTIF($M$3:M446,"0")=0,10^9,LOOKUP(2,1/($M$3:M446="0"),ROW($M$3:M446))),IF(COUNTIF($M$3:M446,"1")=0,10^9,LOOKUP(2,1/($M$3:M446="1"),ROW($M$3:M446))),IF(COUNTIF($M$3:M446,"2")=0,10^9,LOOKUP(2,1/($M$3:M446="2"),ROW($M$3:M446))),IF(COUNTIF($M$3:M446,"3")=0,10^9,LOOKUP(2,1/($M$3:M446="3"),ROW($M$3:M446))),IF(COUNTIF($M$3:M446,"4")=0,10^9,LOOKUP(2,1/($M$3:M446="4"),ROW($M$3:M446))),IF(COUNTIF($M$3:M446,"5")=0,10^9,LOOKUP(2,1/($M$3:M446="5"),ROW($M$3:M446))),IF(COUNTIF($M$3:M446,"6")=0,10^9,LOOKUP(2,1/($M$3:M446="6"),ROW($M$3:M446))),IF(COUNTIF($M$3:M446,"7")=0,10^9,LOOKUP(2,1/($M$3:M446="7"),ROW($M$3:M446))),IF(COUNTIF($M$3:M446,"8")=0,10^9,LOOKUP(2,1/($M$3:M446="8"),ROW($M$3:M446))),IF(COUNTIF($M$3:M446,"9")=0,10^9,LOOKUP(2,1/($M$3:M446="9"),ROW($M$3:M446))))-ROW($M$3)+1),"")),AND(N447&lt;&gt;"",N447=IFERROR(INDEX($N$3:N446,MIN(IF(COUNTIF($N$3:N446,"鼠")=0,10^9,LOOKUP(2,1/($N$3:N446="鼠"),ROW($N$3:N446))),IF(COUNTIF($N$3:N446,"牛")=0,10^9,LOOKUP(2,1/($N$3:N446="牛"),ROW($N$3:N446))),IF(COUNTIF($N$3:N446,"虎")=0,10^9,LOOKUP(2,1/($N$3:N446="虎"),ROW($N$3:N446))),IF(COUNTIF($N$3:N446,"兔")=0,10^9,LOOKUP(2,1/($N$3:N446="兔"),ROW($N$3:N446))),IF(COUNTIF($N$3:N446,"龙")=0,10^9,LOOKUP(2,1/($N$3:N446="龙"),ROW($N$3:N446))),IF(COUNTIF($N$3:N446,"蛇")=0,10^9,LOOKUP(2,1/($N$3:N446="蛇"),ROW($N$3:N446))),IF(COUNTIF($N$3:N446,"马")=0,10^9,LOOKUP(2,1/($N$3:N446="马"),ROW($N$3:N446))),IF(COUNTIF($N$3:N446,"羊")=0,10^9,LOOKUP(2,1/($N$3:N446="羊"),ROW($N$3:N446))),IF(COUNTIF($N$3:N446,"猴")=0,10^9,LOOKUP(2,1/($N$3:N446="猴"),ROW($N$3:N446))),IF(COUNTIF($N$3:N446,"鸡")=0,10^9,LOOKUP(2,1/($N$3:N446="鸡"),ROW($N$3:N446))),IF(COUNTIF($N$3:N446,"狗")=0,10^9,LOOKUP(2,1/($N$3:N446="狗"),ROW($N$3:N446))),IF(COUNTIF($N$3:N446,"猪")=0,10^9,LOOKUP(2,1/($N$3:N446="猪"),ROW($N$3:N446))))-ROW($N$3)+1),""))),0,IF(ISNUMBER(J446),J446+1,1)))</f>
        <v/>
      </c>
      <c r="K447" s="5" t="e">
        <f t="shared" si="42"/>
        <v>#N/A</v>
      </c>
      <c r="M447" s="6" t="str">
        <f t="shared" si="38"/>
        <v/>
      </c>
      <c r="N447" s="2" t="e">
        <f t="shared" si="39"/>
        <v>#N/A</v>
      </c>
      <c r="O447" s="7" t="str">
        <f>IF(M447="","",IF(COUNTIF(M448:$M$1000,M447)&gt;0,"",M447))</f>
        <v/>
      </c>
      <c r="P447" s="8" t="e">
        <f>IF(N447="","",IF(COUNTIF(N448:$N$1000,N447)&gt;0,"",N447))</f>
        <v>#N/A</v>
      </c>
      <c r="Q447" s="21" t="e">
        <f t="shared" si="40"/>
        <v>#NUM!</v>
      </c>
      <c r="R447" s="22" t="e">
        <f t="shared" si="41"/>
        <v>#NUM!</v>
      </c>
      <c r="S447" s="11"/>
      <c r="T447" s="11"/>
      <c r="U447" s="11"/>
      <c r="W447" s="11"/>
      <c r="X447" s="2"/>
      <c r="Y447" s="2"/>
    </row>
    <row r="448" s="1" customFormat="1" spans="1:25">
      <c r="A448" s="2">
        <v>115057083</v>
      </c>
      <c r="B448" s="2"/>
      <c r="C448" s="2"/>
      <c r="D448" s="2"/>
      <c r="E448" s="2"/>
      <c r="F448" s="2"/>
      <c r="G448" s="2"/>
      <c r="H448" s="3"/>
      <c r="I448" s="2" t="e">
        <f t="shared" si="37"/>
        <v>#N/A</v>
      </c>
      <c r="J448" s="4" t="str">
        <f>IF(H448="","",IF(OR(AND(M448&lt;&gt;"",M448=IFERROR(INDEX($M$3:M447,MIN(IF(COUNTIF($M$3:M447,"0")=0,10^9,LOOKUP(2,1/($M$3:M447="0"),ROW($M$3:M447))),IF(COUNTIF($M$3:M447,"1")=0,10^9,LOOKUP(2,1/($M$3:M447="1"),ROW($M$3:M447))),IF(COUNTIF($M$3:M447,"2")=0,10^9,LOOKUP(2,1/($M$3:M447="2"),ROW($M$3:M447))),IF(COUNTIF($M$3:M447,"3")=0,10^9,LOOKUP(2,1/($M$3:M447="3"),ROW($M$3:M447))),IF(COUNTIF($M$3:M447,"4")=0,10^9,LOOKUP(2,1/($M$3:M447="4"),ROW($M$3:M447))),IF(COUNTIF($M$3:M447,"5")=0,10^9,LOOKUP(2,1/($M$3:M447="5"),ROW($M$3:M447))),IF(COUNTIF($M$3:M447,"6")=0,10^9,LOOKUP(2,1/($M$3:M447="6"),ROW($M$3:M447))),IF(COUNTIF($M$3:M447,"7")=0,10^9,LOOKUP(2,1/($M$3:M447="7"),ROW($M$3:M447))),IF(COUNTIF($M$3:M447,"8")=0,10^9,LOOKUP(2,1/($M$3:M447="8"),ROW($M$3:M447))),IF(COUNTIF($M$3:M447,"9")=0,10^9,LOOKUP(2,1/($M$3:M447="9"),ROW($M$3:M447))))-ROW($M$3)+1),"")),AND(N448&lt;&gt;"",N448=IFERROR(INDEX($N$3:N447,MIN(IF(COUNTIF($N$3:N447,"鼠")=0,10^9,LOOKUP(2,1/($N$3:N447="鼠"),ROW($N$3:N447))),IF(COUNTIF($N$3:N447,"牛")=0,10^9,LOOKUP(2,1/($N$3:N447="牛"),ROW($N$3:N447))),IF(COUNTIF($N$3:N447,"虎")=0,10^9,LOOKUP(2,1/($N$3:N447="虎"),ROW($N$3:N447))),IF(COUNTIF($N$3:N447,"兔")=0,10^9,LOOKUP(2,1/($N$3:N447="兔"),ROW($N$3:N447))),IF(COUNTIF($N$3:N447,"龙")=0,10^9,LOOKUP(2,1/($N$3:N447="龙"),ROW($N$3:N447))),IF(COUNTIF($N$3:N447,"蛇")=0,10^9,LOOKUP(2,1/($N$3:N447="蛇"),ROW($N$3:N447))),IF(COUNTIF($N$3:N447,"马")=0,10^9,LOOKUP(2,1/($N$3:N447="马"),ROW($N$3:N447))),IF(COUNTIF($N$3:N447,"羊")=0,10^9,LOOKUP(2,1/($N$3:N447="羊"),ROW($N$3:N447))),IF(COUNTIF($N$3:N447,"猴")=0,10^9,LOOKUP(2,1/($N$3:N447="猴"),ROW($N$3:N447))),IF(COUNTIF($N$3:N447,"鸡")=0,10^9,LOOKUP(2,1/($N$3:N447="鸡"),ROW($N$3:N447))),IF(COUNTIF($N$3:N447,"狗")=0,10^9,LOOKUP(2,1/($N$3:N447="狗"),ROW($N$3:N447))),IF(COUNTIF($N$3:N447,"猪")=0,10^9,LOOKUP(2,1/($N$3:N447="猪"),ROW($N$3:N447))))-ROW($N$3)+1),""))),0,IF(ISNUMBER(J447),J447+1,1)))</f>
        <v/>
      </c>
      <c r="K448" s="5" t="e">
        <f t="shared" si="42"/>
        <v>#N/A</v>
      </c>
      <c r="M448" s="6" t="str">
        <f t="shared" si="38"/>
        <v/>
      </c>
      <c r="N448" s="2" t="e">
        <f t="shared" si="39"/>
        <v>#N/A</v>
      </c>
      <c r="O448" s="7" t="str">
        <f>IF(M448="","",IF(COUNTIF(M449:$M$1000,M448)&gt;0,"",M448))</f>
        <v/>
      </c>
      <c r="P448" s="8" t="e">
        <f>IF(N448="","",IF(COUNTIF(N449:$N$1000,N448)&gt;0,"",N448))</f>
        <v>#N/A</v>
      </c>
      <c r="Q448" s="21" t="e">
        <f t="shared" si="40"/>
        <v>#NUM!</v>
      </c>
      <c r="R448" s="22" t="e">
        <f t="shared" si="41"/>
        <v>#NUM!</v>
      </c>
      <c r="S448" s="11"/>
      <c r="T448" s="11"/>
      <c r="U448" s="11"/>
      <c r="W448" s="11"/>
      <c r="X448" s="2"/>
      <c r="Y448" s="2"/>
    </row>
    <row r="449" s="1" customFormat="1" spans="1:25">
      <c r="A449" s="2">
        <v>115057084</v>
      </c>
      <c r="B449" s="2"/>
      <c r="C449" s="2"/>
      <c r="D449" s="2"/>
      <c r="E449" s="2"/>
      <c r="F449" s="2"/>
      <c r="G449" s="2"/>
      <c r="H449" s="3"/>
      <c r="I449" s="2" t="e">
        <f t="shared" si="37"/>
        <v>#N/A</v>
      </c>
      <c r="J449" s="4" t="str">
        <f>IF(H449="","",IF(OR(AND(M449&lt;&gt;"",M449=IFERROR(INDEX($M$3:M448,MIN(IF(COUNTIF($M$3:M448,"0")=0,10^9,LOOKUP(2,1/($M$3:M448="0"),ROW($M$3:M448))),IF(COUNTIF($M$3:M448,"1")=0,10^9,LOOKUP(2,1/($M$3:M448="1"),ROW($M$3:M448))),IF(COUNTIF($M$3:M448,"2")=0,10^9,LOOKUP(2,1/($M$3:M448="2"),ROW($M$3:M448))),IF(COUNTIF($M$3:M448,"3")=0,10^9,LOOKUP(2,1/($M$3:M448="3"),ROW($M$3:M448))),IF(COUNTIF($M$3:M448,"4")=0,10^9,LOOKUP(2,1/($M$3:M448="4"),ROW($M$3:M448))),IF(COUNTIF($M$3:M448,"5")=0,10^9,LOOKUP(2,1/($M$3:M448="5"),ROW($M$3:M448))),IF(COUNTIF($M$3:M448,"6")=0,10^9,LOOKUP(2,1/($M$3:M448="6"),ROW($M$3:M448))),IF(COUNTIF($M$3:M448,"7")=0,10^9,LOOKUP(2,1/($M$3:M448="7"),ROW($M$3:M448))),IF(COUNTIF($M$3:M448,"8")=0,10^9,LOOKUP(2,1/($M$3:M448="8"),ROW($M$3:M448))),IF(COUNTIF($M$3:M448,"9")=0,10^9,LOOKUP(2,1/($M$3:M448="9"),ROW($M$3:M448))))-ROW($M$3)+1),"")),AND(N449&lt;&gt;"",N449=IFERROR(INDEX($N$3:N448,MIN(IF(COUNTIF($N$3:N448,"鼠")=0,10^9,LOOKUP(2,1/($N$3:N448="鼠"),ROW($N$3:N448))),IF(COUNTIF($N$3:N448,"牛")=0,10^9,LOOKUP(2,1/($N$3:N448="牛"),ROW($N$3:N448))),IF(COUNTIF($N$3:N448,"虎")=0,10^9,LOOKUP(2,1/($N$3:N448="虎"),ROW($N$3:N448))),IF(COUNTIF($N$3:N448,"兔")=0,10^9,LOOKUP(2,1/($N$3:N448="兔"),ROW($N$3:N448))),IF(COUNTIF($N$3:N448,"龙")=0,10^9,LOOKUP(2,1/($N$3:N448="龙"),ROW($N$3:N448))),IF(COUNTIF($N$3:N448,"蛇")=0,10^9,LOOKUP(2,1/($N$3:N448="蛇"),ROW($N$3:N448))),IF(COUNTIF($N$3:N448,"马")=0,10^9,LOOKUP(2,1/($N$3:N448="马"),ROW($N$3:N448))),IF(COUNTIF($N$3:N448,"羊")=0,10^9,LOOKUP(2,1/($N$3:N448="羊"),ROW($N$3:N448))),IF(COUNTIF($N$3:N448,"猴")=0,10^9,LOOKUP(2,1/($N$3:N448="猴"),ROW($N$3:N448))),IF(COUNTIF($N$3:N448,"鸡")=0,10^9,LOOKUP(2,1/($N$3:N448="鸡"),ROW($N$3:N448))),IF(COUNTIF($N$3:N448,"狗")=0,10^9,LOOKUP(2,1/($N$3:N448="狗"),ROW($N$3:N448))),IF(COUNTIF($N$3:N448,"猪")=0,10^9,LOOKUP(2,1/($N$3:N448="猪"),ROW($N$3:N448))))-ROW($N$3)+1),""))),0,IF(ISNUMBER(J448),J448+1,1)))</f>
        <v/>
      </c>
      <c r="K449" s="5" t="e">
        <f t="shared" si="42"/>
        <v>#N/A</v>
      </c>
      <c r="M449" s="6" t="str">
        <f t="shared" si="38"/>
        <v/>
      </c>
      <c r="N449" s="2" t="e">
        <f t="shared" si="39"/>
        <v>#N/A</v>
      </c>
      <c r="O449" s="7" t="str">
        <f>IF(M449="","",IF(COUNTIF(M450:$M$1000,M449)&gt;0,"",M449))</f>
        <v/>
      </c>
      <c r="P449" s="8" t="e">
        <f>IF(N449="","",IF(COUNTIF(N450:$N$1000,N449)&gt;0,"",N449))</f>
        <v>#N/A</v>
      </c>
      <c r="Q449" s="21" t="e">
        <f t="shared" si="40"/>
        <v>#NUM!</v>
      </c>
      <c r="R449" s="22" t="e">
        <f t="shared" si="41"/>
        <v>#NUM!</v>
      </c>
      <c r="S449" s="11"/>
      <c r="T449" s="11"/>
      <c r="U449" s="11"/>
      <c r="W449" s="11"/>
      <c r="X449" s="2"/>
      <c r="Y449" s="2"/>
    </row>
    <row r="450" s="1" customFormat="1" spans="1:25">
      <c r="A450" s="2">
        <v>115057085</v>
      </c>
      <c r="B450" s="2"/>
      <c r="C450" s="2"/>
      <c r="D450" s="2"/>
      <c r="E450" s="2"/>
      <c r="F450" s="2"/>
      <c r="G450" s="2"/>
      <c r="H450" s="3"/>
      <c r="I450" s="2" t="e">
        <f t="shared" si="37"/>
        <v>#N/A</v>
      </c>
      <c r="J450" s="4" t="str">
        <f>IF(H450="","",IF(OR(AND(M450&lt;&gt;"",M450=IFERROR(INDEX($M$3:M449,MIN(IF(COUNTIF($M$3:M449,"0")=0,10^9,LOOKUP(2,1/($M$3:M449="0"),ROW($M$3:M449))),IF(COUNTIF($M$3:M449,"1")=0,10^9,LOOKUP(2,1/($M$3:M449="1"),ROW($M$3:M449))),IF(COUNTIF($M$3:M449,"2")=0,10^9,LOOKUP(2,1/($M$3:M449="2"),ROW($M$3:M449))),IF(COUNTIF($M$3:M449,"3")=0,10^9,LOOKUP(2,1/($M$3:M449="3"),ROW($M$3:M449))),IF(COUNTIF($M$3:M449,"4")=0,10^9,LOOKUP(2,1/($M$3:M449="4"),ROW($M$3:M449))),IF(COUNTIF($M$3:M449,"5")=0,10^9,LOOKUP(2,1/($M$3:M449="5"),ROW($M$3:M449))),IF(COUNTIF($M$3:M449,"6")=0,10^9,LOOKUP(2,1/($M$3:M449="6"),ROW($M$3:M449))),IF(COUNTIF($M$3:M449,"7")=0,10^9,LOOKUP(2,1/($M$3:M449="7"),ROW($M$3:M449))),IF(COUNTIF($M$3:M449,"8")=0,10^9,LOOKUP(2,1/($M$3:M449="8"),ROW($M$3:M449))),IF(COUNTIF($M$3:M449,"9")=0,10^9,LOOKUP(2,1/($M$3:M449="9"),ROW($M$3:M449))))-ROW($M$3)+1),"")),AND(N450&lt;&gt;"",N450=IFERROR(INDEX($N$3:N449,MIN(IF(COUNTIF($N$3:N449,"鼠")=0,10^9,LOOKUP(2,1/($N$3:N449="鼠"),ROW($N$3:N449))),IF(COUNTIF($N$3:N449,"牛")=0,10^9,LOOKUP(2,1/($N$3:N449="牛"),ROW($N$3:N449))),IF(COUNTIF($N$3:N449,"虎")=0,10^9,LOOKUP(2,1/($N$3:N449="虎"),ROW($N$3:N449))),IF(COUNTIF($N$3:N449,"兔")=0,10^9,LOOKUP(2,1/($N$3:N449="兔"),ROW($N$3:N449))),IF(COUNTIF($N$3:N449,"龙")=0,10^9,LOOKUP(2,1/($N$3:N449="龙"),ROW($N$3:N449))),IF(COUNTIF($N$3:N449,"蛇")=0,10^9,LOOKUP(2,1/($N$3:N449="蛇"),ROW($N$3:N449))),IF(COUNTIF($N$3:N449,"马")=0,10^9,LOOKUP(2,1/($N$3:N449="马"),ROW($N$3:N449))),IF(COUNTIF($N$3:N449,"羊")=0,10^9,LOOKUP(2,1/($N$3:N449="羊"),ROW($N$3:N449))),IF(COUNTIF($N$3:N449,"猴")=0,10^9,LOOKUP(2,1/($N$3:N449="猴"),ROW($N$3:N449))),IF(COUNTIF($N$3:N449,"鸡")=0,10^9,LOOKUP(2,1/($N$3:N449="鸡"),ROW($N$3:N449))),IF(COUNTIF($N$3:N449,"狗")=0,10^9,LOOKUP(2,1/($N$3:N449="狗"),ROW($N$3:N449))),IF(COUNTIF($N$3:N449,"猪")=0,10^9,LOOKUP(2,1/($N$3:N449="猪"),ROW($N$3:N449))))-ROW($N$3)+1),""))),0,IF(ISNUMBER(J449),J449+1,1)))</f>
        <v/>
      </c>
      <c r="K450" s="5" t="e">
        <f t="shared" si="42"/>
        <v>#N/A</v>
      </c>
      <c r="M450" s="6" t="str">
        <f t="shared" si="38"/>
        <v/>
      </c>
      <c r="N450" s="2" t="e">
        <f t="shared" si="39"/>
        <v>#N/A</v>
      </c>
      <c r="O450" s="7" t="str">
        <f>IF(M450="","",IF(COUNTIF(M451:$M$1000,M450)&gt;0,"",M450))</f>
        <v/>
      </c>
      <c r="P450" s="8" t="e">
        <f>IF(N450="","",IF(COUNTIF(N451:$N$1000,N450)&gt;0,"",N450))</f>
        <v>#N/A</v>
      </c>
      <c r="Q450" s="21" t="e">
        <f t="shared" si="40"/>
        <v>#NUM!</v>
      </c>
      <c r="R450" s="22" t="e">
        <f t="shared" si="41"/>
        <v>#NUM!</v>
      </c>
      <c r="S450" s="11"/>
      <c r="T450" s="11"/>
      <c r="U450" s="11"/>
      <c r="W450" s="11"/>
      <c r="X450" s="2"/>
      <c r="Y450" s="2"/>
    </row>
    <row r="451" s="1" customFormat="1" spans="1:25">
      <c r="A451" s="2">
        <v>115057086</v>
      </c>
      <c r="B451" s="2"/>
      <c r="C451" s="2"/>
      <c r="D451" s="2"/>
      <c r="E451" s="2"/>
      <c r="F451" s="2"/>
      <c r="G451" s="2"/>
      <c r="H451" s="3"/>
      <c r="I451" s="2" t="e">
        <f t="shared" ref="I451:I498" si="43">VLOOKUP(H451,X:Y,2,0)</f>
        <v>#N/A</v>
      </c>
      <c r="J451" s="4" t="str">
        <f>IF(H451="","",IF(OR(AND(M451&lt;&gt;"",M451=IFERROR(INDEX($M$3:M450,MIN(IF(COUNTIF($M$3:M450,"0")=0,10^9,LOOKUP(2,1/($M$3:M450="0"),ROW($M$3:M450))),IF(COUNTIF($M$3:M450,"1")=0,10^9,LOOKUP(2,1/($M$3:M450="1"),ROW($M$3:M450))),IF(COUNTIF($M$3:M450,"2")=0,10^9,LOOKUP(2,1/($M$3:M450="2"),ROW($M$3:M450))),IF(COUNTIF($M$3:M450,"3")=0,10^9,LOOKUP(2,1/($M$3:M450="3"),ROW($M$3:M450))),IF(COUNTIF($M$3:M450,"4")=0,10^9,LOOKUP(2,1/($M$3:M450="4"),ROW($M$3:M450))),IF(COUNTIF($M$3:M450,"5")=0,10^9,LOOKUP(2,1/($M$3:M450="5"),ROW($M$3:M450))),IF(COUNTIF($M$3:M450,"6")=0,10^9,LOOKUP(2,1/($M$3:M450="6"),ROW($M$3:M450))),IF(COUNTIF($M$3:M450,"7")=0,10^9,LOOKUP(2,1/($M$3:M450="7"),ROW($M$3:M450))),IF(COUNTIF($M$3:M450,"8")=0,10^9,LOOKUP(2,1/($M$3:M450="8"),ROW($M$3:M450))),IF(COUNTIF($M$3:M450,"9")=0,10^9,LOOKUP(2,1/($M$3:M450="9"),ROW($M$3:M450))))-ROW($M$3)+1),"")),AND(N451&lt;&gt;"",N451=IFERROR(INDEX($N$3:N450,MIN(IF(COUNTIF($N$3:N450,"鼠")=0,10^9,LOOKUP(2,1/($N$3:N450="鼠"),ROW($N$3:N450))),IF(COUNTIF($N$3:N450,"牛")=0,10^9,LOOKUP(2,1/($N$3:N450="牛"),ROW($N$3:N450))),IF(COUNTIF($N$3:N450,"虎")=0,10^9,LOOKUP(2,1/($N$3:N450="虎"),ROW($N$3:N450))),IF(COUNTIF($N$3:N450,"兔")=0,10^9,LOOKUP(2,1/($N$3:N450="兔"),ROW($N$3:N450))),IF(COUNTIF($N$3:N450,"龙")=0,10^9,LOOKUP(2,1/($N$3:N450="龙"),ROW($N$3:N450))),IF(COUNTIF($N$3:N450,"蛇")=0,10^9,LOOKUP(2,1/($N$3:N450="蛇"),ROW($N$3:N450))),IF(COUNTIF($N$3:N450,"马")=0,10^9,LOOKUP(2,1/($N$3:N450="马"),ROW($N$3:N450))),IF(COUNTIF($N$3:N450,"羊")=0,10^9,LOOKUP(2,1/($N$3:N450="羊"),ROW($N$3:N450))),IF(COUNTIF($N$3:N450,"猴")=0,10^9,LOOKUP(2,1/($N$3:N450="猴"),ROW($N$3:N450))),IF(COUNTIF($N$3:N450,"鸡")=0,10^9,LOOKUP(2,1/($N$3:N450="鸡"),ROW($N$3:N450))),IF(COUNTIF($N$3:N450,"狗")=0,10^9,LOOKUP(2,1/($N$3:N450="狗"),ROW($N$3:N450))),IF(COUNTIF($N$3:N450,"猪")=0,10^9,LOOKUP(2,1/($N$3:N450="猪"),ROW($N$3:N450))))-ROW($N$3)+1),""))),0,IF(ISNUMBER(J450),J450+1,1)))</f>
        <v/>
      </c>
      <c r="K451" s="5" t="e">
        <f t="shared" si="42"/>
        <v>#N/A</v>
      </c>
      <c r="M451" s="6" t="str">
        <f t="shared" ref="M451:M498" si="44">RIGHT(H451,1)</f>
        <v/>
      </c>
      <c r="N451" s="2" t="e">
        <f t="shared" ref="N451:N498" si="45">I451</f>
        <v>#N/A</v>
      </c>
      <c r="O451" s="7" t="str">
        <f>IF(M451="","",IF(COUNTIF(M452:$M$1000,M451)&gt;0,"",M451))</f>
        <v/>
      </c>
      <c r="P451" s="8" t="e">
        <f>IF(N451="","",IF(COUNTIF(N452:$N$1000,N451)&gt;0,"",N451))</f>
        <v>#N/A</v>
      </c>
      <c r="Q451" s="21" t="e">
        <f t="shared" ref="Q451:Q498" si="46">MOD(INT(SMALL(B451:G451,5)/10)+MOD(SMALL(B451:G451,5),10),10)+INT(SMALL(B451:G451,4)/10)+INT(SMALL(B451:G451,6)/10)+MOD(SMALL(B451:G451,6),10)+SMALL(B451:G451,4)+SMALL(B451:G451,6)+9</f>
        <v>#NUM!</v>
      </c>
      <c r="R451" s="22" t="e">
        <f t="shared" ref="R451:R498" si="47">VLOOKUP(Q451,X:Y,2,0)</f>
        <v>#NUM!</v>
      </c>
      <c r="S451" s="11"/>
      <c r="T451" s="11"/>
      <c r="U451" s="11"/>
      <c r="W451" s="11"/>
      <c r="X451" s="2"/>
      <c r="Y451" s="2"/>
    </row>
    <row r="452" s="1" customFormat="1" spans="1:25">
      <c r="A452" s="2">
        <v>115057087</v>
      </c>
      <c r="B452" s="2"/>
      <c r="C452" s="2"/>
      <c r="D452" s="2"/>
      <c r="E452" s="2"/>
      <c r="F452" s="2"/>
      <c r="G452" s="2"/>
      <c r="H452" s="3"/>
      <c r="I452" s="2" t="e">
        <f t="shared" si="43"/>
        <v>#N/A</v>
      </c>
      <c r="J452" s="4" t="str">
        <f>IF(H452="","",IF(OR(AND(M452&lt;&gt;"",M452=IFERROR(INDEX($M$3:M451,MIN(IF(COUNTIF($M$3:M451,"0")=0,10^9,LOOKUP(2,1/($M$3:M451="0"),ROW($M$3:M451))),IF(COUNTIF($M$3:M451,"1")=0,10^9,LOOKUP(2,1/($M$3:M451="1"),ROW($M$3:M451))),IF(COUNTIF($M$3:M451,"2")=0,10^9,LOOKUP(2,1/($M$3:M451="2"),ROW($M$3:M451))),IF(COUNTIF($M$3:M451,"3")=0,10^9,LOOKUP(2,1/($M$3:M451="3"),ROW($M$3:M451))),IF(COUNTIF($M$3:M451,"4")=0,10^9,LOOKUP(2,1/($M$3:M451="4"),ROW($M$3:M451))),IF(COUNTIF($M$3:M451,"5")=0,10^9,LOOKUP(2,1/($M$3:M451="5"),ROW($M$3:M451))),IF(COUNTIF($M$3:M451,"6")=0,10^9,LOOKUP(2,1/($M$3:M451="6"),ROW($M$3:M451))),IF(COUNTIF($M$3:M451,"7")=0,10^9,LOOKUP(2,1/($M$3:M451="7"),ROW($M$3:M451))),IF(COUNTIF($M$3:M451,"8")=0,10^9,LOOKUP(2,1/($M$3:M451="8"),ROW($M$3:M451))),IF(COUNTIF($M$3:M451,"9")=0,10^9,LOOKUP(2,1/($M$3:M451="9"),ROW($M$3:M451))))-ROW($M$3)+1),"")),AND(N452&lt;&gt;"",N452=IFERROR(INDEX($N$3:N451,MIN(IF(COUNTIF($N$3:N451,"鼠")=0,10^9,LOOKUP(2,1/($N$3:N451="鼠"),ROW($N$3:N451))),IF(COUNTIF($N$3:N451,"牛")=0,10^9,LOOKUP(2,1/($N$3:N451="牛"),ROW($N$3:N451))),IF(COUNTIF($N$3:N451,"虎")=0,10^9,LOOKUP(2,1/($N$3:N451="虎"),ROW($N$3:N451))),IF(COUNTIF($N$3:N451,"兔")=0,10^9,LOOKUP(2,1/($N$3:N451="兔"),ROW($N$3:N451))),IF(COUNTIF($N$3:N451,"龙")=0,10^9,LOOKUP(2,1/($N$3:N451="龙"),ROW($N$3:N451))),IF(COUNTIF($N$3:N451,"蛇")=0,10^9,LOOKUP(2,1/($N$3:N451="蛇"),ROW($N$3:N451))),IF(COUNTIF($N$3:N451,"马")=0,10^9,LOOKUP(2,1/($N$3:N451="马"),ROW($N$3:N451))),IF(COUNTIF($N$3:N451,"羊")=0,10^9,LOOKUP(2,1/($N$3:N451="羊"),ROW($N$3:N451))),IF(COUNTIF($N$3:N451,"猴")=0,10^9,LOOKUP(2,1/($N$3:N451="猴"),ROW($N$3:N451))),IF(COUNTIF($N$3:N451,"鸡")=0,10^9,LOOKUP(2,1/($N$3:N451="鸡"),ROW($N$3:N451))),IF(COUNTIF($N$3:N451,"狗")=0,10^9,LOOKUP(2,1/($N$3:N451="狗"),ROW($N$3:N451))),IF(COUNTIF($N$3:N451,"猪")=0,10^9,LOOKUP(2,1/($N$3:N451="猪"),ROW($N$3:N451))))-ROW($N$3)+1),""))),0,IF(ISNUMBER(J451),J451+1,1)))</f>
        <v/>
      </c>
      <c r="K452" s="5" t="e">
        <f t="shared" ref="K452:K498" si="48">IF(I452=R451,0,K451+1)</f>
        <v>#N/A</v>
      </c>
      <c r="M452" s="6" t="str">
        <f t="shared" si="44"/>
        <v/>
      </c>
      <c r="N452" s="2" t="e">
        <f t="shared" si="45"/>
        <v>#N/A</v>
      </c>
      <c r="O452" s="7" t="str">
        <f>IF(M452="","",IF(COUNTIF(M453:$M$1000,M452)&gt;0,"",M452))</f>
        <v/>
      </c>
      <c r="P452" s="8" t="e">
        <f>IF(N452="","",IF(COUNTIF(N453:$N$1000,N452)&gt;0,"",N452))</f>
        <v>#N/A</v>
      </c>
      <c r="Q452" s="21" t="e">
        <f t="shared" si="46"/>
        <v>#NUM!</v>
      </c>
      <c r="R452" s="22" t="e">
        <f t="shared" si="47"/>
        <v>#NUM!</v>
      </c>
      <c r="S452" s="11"/>
      <c r="T452" s="11"/>
      <c r="U452" s="11"/>
      <c r="W452" s="11"/>
      <c r="X452" s="2"/>
      <c r="Y452" s="2"/>
    </row>
    <row r="453" s="1" customFormat="1" spans="1:25">
      <c r="A453" s="2">
        <v>115057088</v>
      </c>
      <c r="B453" s="2"/>
      <c r="C453" s="2"/>
      <c r="D453" s="2"/>
      <c r="E453" s="2"/>
      <c r="F453" s="2"/>
      <c r="G453" s="2"/>
      <c r="H453" s="3"/>
      <c r="I453" s="2" t="e">
        <f t="shared" si="43"/>
        <v>#N/A</v>
      </c>
      <c r="J453" s="4" t="str">
        <f>IF(H453="","",IF(OR(AND(M453&lt;&gt;"",M453=IFERROR(INDEX($M$3:M452,MIN(IF(COUNTIF($M$3:M452,"0")=0,10^9,LOOKUP(2,1/($M$3:M452="0"),ROW($M$3:M452))),IF(COUNTIF($M$3:M452,"1")=0,10^9,LOOKUP(2,1/($M$3:M452="1"),ROW($M$3:M452))),IF(COUNTIF($M$3:M452,"2")=0,10^9,LOOKUP(2,1/($M$3:M452="2"),ROW($M$3:M452))),IF(COUNTIF($M$3:M452,"3")=0,10^9,LOOKUP(2,1/($M$3:M452="3"),ROW($M$3:M452))),IF(COUNTIF($M$3:M452,"4")=0,10^9,LOOKUP(2,1/($M$3:M452="4"),ROW($M$3:M452))),IF(COUNTIF($M$3:M452,"5")=0,10^9,LOOKUP(2,1/($M$3:M452="5"),ROW($M$3:M452))),IF(COUNTIF($M$3:M452,"6")=0,10^9,LOOKUP(2,1/($M$3:M452="6"),ROW($M$3:M452))),IF(COUNTIF($M$3:M452,"7")=0,10^9,LOOKUP(2,1/($M$3:M452="7"),ROW($M$3:M452))),IF(COUNTIF($M$3:M452,"8")=0,10^9,LOOKUP(2,1/($M$3:M452="8"),ROW($M$3:M452))),IF(COUNTIF($M$3:M452,"9")=0,10^9,LOOKUP(2,1/($M$3:M452="9"),ROW($M$3:M452))))-ROW($M$3)+1),"")),AND(N453&lt;&gt;"",N453=IFERROR(INDEX($N$3:N452,MIN(IF(COUNTIF($N$3:N452,"鼠")=0,10^9,LOOKUP(2,1/($N$3:N452="鼠"),ROW($N$3:N452))),IF(COUNTIF($N$3:N452,"牛")=0,10^9,LOOKUP(2,1/($N$3:N452="牛"),ROW($N$3:N452))),IF(COUNTIF($N$3:N452,"虎")=0,10^9,LOOKUP(2,1/($N$3:N452="虎"),ROW($N$3:N452))),IF(COUNTIF($N$3:N452,"兔")=0,10^9,LOOKUP(2,1/($N$3:N452="兔"),ROW($N$3:N452))),IF(COUNTIF($N$3:N452,"龙")=0,10^9,LOOKUP(2,1/($N$3:N452="龙"),ROW($N$3:N452))),IF(COUNTIF($N$3:N452,"蛇")=0,10^9,LOOKUP(2,1/($N$3:N452="蛇"),ROW($N$3:N452))),IF(COUNTIF($N$3:N452,"马")=0,10^9,LOOKUP(2,1/($N$3:N452="马"),ROW($N$3:N452))),IF(COUNTIF($N$3:N452,"羊")=0,10^9,LOOKUP(2,1/($N$3:N452="羊"),ROW($N$3:N452))),IF(COUNTIF($N$3:N452,"猴")=0,10^9,LOOKUP(2,1/($N$3:N452="猴"),ROW($N$3:N452))),IF(COUNTIF($N$3:N452,"鸡")=0,10^9,LOOKUP(2,1/($N$3:N452="鸡"),ROW($N$3:N452))),IF(COUNTIF($N$3:N452,"狗")=0,10^9,LOOKUP(2,1/($N$3:N452="狗"),ROW($N$3:N452))),IF(COUNTIF($N$3:N452,"猪")=0,10^9,LOOKUP(2,1/($N$3:N452="猪"),ROW($N$3:N452))))-ROW($N$3)+1),""))),0,IF(ISNUMBER(J452),J452+1,1)))</f>
        <v/>
      </c>
      <c r="K453" s="5" t="e">
        <f t="shared" si="48"/>
        <v>#N/A</v>
      </c>
      <c r="M453" s="6" t="str">
        <f t="shared" si="44"/>
        <v/>
      </c>
      <c r="N453" s="2" t="e">
        <f t="shared" si="45"/>
        <v>#N/A</v>
      </c>
      <c r="O453" s="7" t="str">
        <f>IF(M453="","",IF(COUNTIF(M454:$M$1000,M453)&gt;0,"",M453))</f>
        <v/>
      </c>
      <c r="P453" s="8" t="e">
        <f>IF(N453="","",IF(COUNTIF(N454:$N$1000,N453)&gt;0,"",N453))</f>
        <v>#N/A</v>
      </c>
      <c r="Q453" s="21" t="e">
        <f t="shared" si="46"/>
        <v>#NUM!</v>
      </c>
      <c r="R453" s="22" t="e">
        <f t="shared" si="47"/>
        <v>#NUM!</v>
      </c>
      <c r="S453" s="11"/>
      <c r="T453" s="11"/>
      <c r="U453" s="11"/>
      <c r="W453" s="11"/>
      <c r="X453" s="2"/>
      <c r="Y453" s="2"/>
    </row>
    <row r="454" s="1" customFormat="1" spans="1:25">
      <c r="A454" s="2">
        <v>115057089</v>
      </c>
      <c r="B454" s="2"/>
      <c r="C454" s="2"/>
      <c r="D454" s="2"/>
      <c r="E454" s="2"/>
      <c r="F454" s="2"/>
      <c r="G454" s="2"/>
      <c r="H454" s="3"/>
      <c r="I454" s="2" t="e">
        <f t="shared" si="43"/>
        <v>#N/A</v>
      </c>
      <c r="J454" s="4" t="str">
        <f>IF(H454="","",IF(OR(AND(M454&lt;&gt;"",M454=IFERROR(INDEX($M$3:M453,MIN(IF(COUNTIF($M$3:M453,"0")=0,10^9,LOOKUP(2,1/($M$3:M453="0"),ROW($M$3:M453))),IF(COUNTIF($M$3:M453,"1")=0,10^9,LOOKUP(2,1/($M$3:M453="1"),ROW($M$3:M453))),IF(COUNTIF($M$3:M453,"2")=0,10^9,LOOKUP(2,1/($M$3:M453="2"),ROW($M$3:M453))),IF(COUNTIF($M$3:M453,"3")=0,10^9,LOOKUP(2,1/($M$3:M453="3"),ROW($M$3:M453))),IF(COUNTIF($M$3:M453,"4")=0,10^9,LOOKUP(2,1/($M$3:M453="4"),ROW($M$3:M453))),IF(COUNTIF($M$3:M453,"5")=0,10^9,LOOKUP(2,1/($M$3:M453="5"),ROW($M$3:M453))),IF(COUNTIF($M$3:M453,"6")=0,10^9,LOOKUP(2,1/($M$3:M453="6"),ROW($M$3:M453))),IF(COUNTIF($M$3:M453,"7")=0,10^9,LOOKUP(2,1/($M$3:M453="7"),ROW($M$3:M453))),IF(COUNTIF($M$3:M453,"8")=0,10^9,LOOKUP(2,1/($M$3:M453="8"),ROW($M$3:M453))),IF(COUNTIF($M$3:M453,"9")=0,10^9,LOOKUP(2,1/($M$3:M453="9"),ROW($M$3:M453))))-ROW($M$3)+1),"")),AND(N454&lt;&gt;"",N454=IFERROR(INDEX($N$3:N453,MIN(IF(COUNTIF($N$3:N453,"鼠")=0,10^9,LOOKUP(2,1/($N$3:N453="鼠"),ROW($N$3:N453))),IF(COUNTIF($N$3:N453,"牛")=0,10^9,LOOKUP(2,1/($N$3:N453="牛"),ROW($N$3:N453))),IF(COUNTIF($N$3:N453,"虎")=0,10^9,LOOKUP(2,1/($N$3:N453="虎"),ROW($N$3:N453))),IF(COUNTIF($N$3:N453,"兔")=0,10^9,LOOKUP(2,1/($N$3:N453="兔"),ROW($N$3:N453))),IF(COUNTIF($N$3:N453,"龙")=0,10^9,LOOKUP(2,1/($N$3:N453="龙"),ROW($N$3:N453))),IF(COUNTIF($N$3:N453,"蛇")=0,10^9,LOOKUP(2,1/($N$3:N453="蛇"),ROW($N$3:N453))),IF(COUNTIF($N$3:N453,"马")=0,10^9,LOOKUP(2,1/($N$3:N453="马"),ROW($N$3:N453))),IF(COUNTIF($N$3:N453,"羊")=0,10^9,LOOKUP(2,1/($N$3:N453="羊"),ROW($N$3:N453))),IF(COUNTIF($N$3:N453,"猴")=0,10^9,LOOKUP(2,1/($N$3:N453="猴"),ROW($N$3:N453))),IF(COUNTIF($N$3:N453,"鸡")=0,10^9,LOOKUP(2,1/($N$3:N453="鸡"),ROW($N$3:N453))),IF(COUNTIF($N$3:N453,"狗")=0,10^9,LOOKUP(2,1/($N$3:N453="狗"),ROW($N$3:N453))),IF(COUNTIF($N$3:N453,"猪")=0,10^9,LOOKUP(2,1/($N$3:N453="猪"),ROW($N$3:N453))))-ROW($N$3)+1),""))),0,IF(ISNUMBER(J453),J453+1,1)))</f>
        <v/>
      </c>
      <c r="K454" s="5" t="e">
        <f t="shared" si="48"/>
        <v>#N/A</v>
      </c>
      <c r="M454" s="6" t="str">
        <f t="shared" si="44"/>
        <v/>
      </c>
      <c r="N454" s="2" t="e">
        <f t="shared" si="45"/>
        <v>#N/A</v>
      </c>
      <c r="O454" s="7" t="str">
        <f>IF(M454="","",IF(COUNTIF(M455:$M$1000,M454)&gt;0,"",M454))</f>
        <v/>
      </c>
      <c r="P454" s="8" t="e">
        <f>IF(N454="","",IF(COUNTIF(N455:$N$1000,N454)&gt;0,"",N454))</f>
        <v>#N/A</v>
      </c>
      <c r="Q454" s="21" t="e">
        <f t="shared" si="46"/>
        <v>#NUM!</v>
      </c>
      <c r="R454" s="22" t="e">
        <f t="shared" si="47"/>
        <v>#NUM!</v>
      </c>
      <c r="S454" s="11"/>
      <c r="T454" s="11"/>
      <c r="U454" s="11"/>
      <c r="W454" s="11"/>
      <c r="X454" s="2"/>
      <c r="Y454" s="2"/>
    </row>
    <row r="455" s="1" customFormat="1" spans="1:25">
      <c r="A455" s="2">
        <v>115057090</v>
      </c>
      <c r="B455" s="2"/>
      <c r="C455" s="2"/>
      <c r="D455" s="2"/>
      <c r="E455" s="2"/>
      <c r="F455" s="2"/>
      <c r="G455" s="2"/>
      <c r="H455" s="3"/>
      <c r="I455" s="2" t="e">
        <f t="shared" si="43"/>
        <v>#N/A</v>
      </c>
      <c r="J455" s="4" t="str">
        <f>IF(H455="","",IF(OR(AND(M455&lt;&gt;"",M455=IFERROR(INDEX($M$3:M454,MIN(IF(COUNTIF($M$3:M454,"0")=0,10^9,LOOKUP(2,1/($M$3:M454="0"),ROW($M$3:M454))),IF(COUNTIF($M$3:M454,"1")=0,10^9,LOOKUP(2,1/($M$3:M454="1"),ROW($M$3:M454))),IF(COUNTIF($M$3:M454,"2")=0,10^9,LOOKUP(2,1/($M$3:M454="2"),ROW($M$3:M454))),IF(COUNTIF($M$3:M454,"3")=0,10^9,LOOKUP(2,1/($M$3:M454="3"),ROW($M$3:M454))),IF(COUNTIF($M$3:M454,"4")=0,10^9,LOOKUP(2,1/($M$3:M454="4"),ROW($M$3:M454))),IF(COUNTIF($M$3:M454,"5")=0,10^9,LOOKUP(2,1/($M$3:M454="5"),ROW($M$3:M454))),IF(COUNTIF($M$3:M454,"6")=0,10^9,LOOKUP(2,1/($M$3:M454="6"),ROW($M$3:M454))),IF(COUNTIF($M$3:M454,"7")=0,10^9,LOOKUP(2,1/($M$3:M454="7"),ROW($M$3:M454))),IF(COUNTIF($M$3:M454,"8")=0,10^9,LOOKUP(2,1/($M$3:M454="8"),ROW($M$3:M454))),IF(COUNTIF($M$3:M454,"9")=0,10^9,LOOKUP(2,1/($M$3:M454="9"),ROW($M$3:M454))))-ROW($M$3)+1),"")),AND(N455&lt;&gt;"",N455=IFERROR(INDEX($N$3:N454,MIN(IF(COUNTIF($N$3:N454,"鼠")=0,10^9,LOOKUP(2,1/($N$3:N454="鼠"),ROW($N$3:N454))),IF(COUNTIF($N$3:N454,"牛")=0,10^9,LOOKUP(2,1/($N$3:N454="牛"),ROW($N$3:N454))),IF(COUNTIF($N$3:N454,"虎")=0,10^9,LOOKUP(2,1/($N$3:N454="虎"),ROW($N$3:N454))),IF(COUNTIF($N$3:N454,"兔")=0,10^9,LOOKUP(2,1/($N$3:N454="兔"),ROW($N$3:N454))),IF(COUNTIF($N$3:N454,"龙")=0,10^9,LOOKUP(2,1/($N$3:N454="龙"),ROW($N$3:N454))),IF(COUNTIF($N$3:N454,"蛇")=0,10^9,LOOKUP(2,1/($N$3:N454="蛇"),ROW($N$3:N454))),IF(COUNTIF($N$3:N454,"马")=0,10^9,LOOKUP(2,1/($N$3:N454="马"),ROW($N$3:N454))),IF(COUNTIF($N$3:N454,"羊")=0,10^9,LOOKUP(2,1/($N$3:N454="羊"),ROW($N$3:N454))),IF(COUNTIF($N$3:N454,"猴")=0,10^9,LOOKUP(2,1/($N$3:N454="猴"),ROW($N$3:N454))),IF(COUNTIF($N$3:N454,"鸡")=0,10^9,LOOKUP(2,1/($N$3:N454="鸡"),ROW($N$3:N454))),IF(COUNTIF($N$3:N454,"狗")=0,10^9,LOOKUP(2,1/($N$3:N454="狗"),ROW($N$3:N454))),IF(COUNTIF($N$3:N454,"猪")=0,10^9,LOOKUP(2,1/($N$3:N454="猪"),ROW($N$3:N454))))-ROW($N$3)+1),""))),0,IF(ISNUMBER(J454),J454+1,1)))</f>
        <v/>
      </c>
      <c r="K455" s="5" t="e">
        <f t="shared" si="48"/>
        <v>#N/A</v>
      </c>
      <c r="M455" s="6" t="str">
        <f t="shared" si="44"/>
        <v/>
      </c>
      <c r="N455" s="2" t="e">
        <f t="shared" si="45"/>
        <v>#N/A</v>
      </c>
      <c r="O455" s="7" t="str">
        <f>IF(M455="","",IF(COUNTIF(M456:$M$1000,M455)&gt;0,"",M455))</f>
        <v/>
      </c>
      <c r="P455" s="8" t="e">
        <f>IF(N455="","",IF(COUNTIF(N456:$N$1000,N455)&gt;0,"",N455))</f>
        <v>#N/A</v>
      </c>
      <c r="Q455" s="21" t="e">
        <f t="shared" si="46"/>
        <v>#NUM!</v>
      </c>
      <c r="R455" s="22" t="e">
        <f t="shared" si="47"/>
        <v>#NUM!</v>
      </c>
      <c r="S455" s="11"/>
      <c r="T455" s="11"/>
      <c r="U455" s="11"/>
      <c r="W455" s="11"/>
      <c r="X455" s="2"/>
      <c r="Y455" s="2"/>
    </row>
    <row r="456" s="1" customFormat="1" spans="1:25">
      <c r="A456" s="2">
        <v>115057091</v>
      </c>
      <c r="B456" s="2"/>
      <c r="C456" s="2"/>
      <c r="D456" s="2"/>
      <c r="E456" s="2"/>
      <c r="F456" s="2"/>
      <c r="G456" s="2"/>
      <c r="H456" s="3"/>
      <c r="I456" s="2" t="e">
        <f t="shared" si="43"/>
        <v>#N/A</v>
      </c>
      <c r="J456" s="4" t="str">
        <f>IF(H456="","",IF(OR(AND(M456&lt;&gt;"",M456=IFERROR(INDEX($M$3:M455,MIN(IF(COUNTIF($M$3:M455,"0")=0,10^9,LOOKUP(2,1/($M$3:M455="0"),ROW($M$3:M455))),IF(COUNTIF($M$3:M455,"1")=0,10^9,LOOKUP(2,1/($M$3:M455="1"),ROW($M$3:M455))),IF(COUNTIF($M$3:M455,"2")=0,10^9,LOOKUP(2,1/($M$3:M455="2"),ROW($M$3:M455))),IF(COUNTIF($M$3:M455,"3")=0,10^9,LOOKUP(2,1/($M$3:M455="3"),ROW($M$3:M455))),IF(COUNTIF($M$3:M455,"4")=0,10^9,LOOKUP(2,1/($M$3:M455="4"),ROW($M$3:M455))),IF(COUNTIF($M$3:M455,"5")=0,10^9,LOOKUP(2,1/($M$3:M455="5"),ROW($M$3:M455))),IF(COUNTIF($M$3:M455,"6")=0,10^9,LOOKUP(2,1/($M$3:M455="6"),ROW($M$3:M455))),IF(COUNTIF($M$3:M455,"7")=0,10^9,LOOKUP(2,1/($M$3:M455="7"),ROW($M$3:M455))),IF(COUNTIF($M$3:M455,"8")=0,10^9,LOOKUP(2,1/($M$3:M455="8"),ROW($M$3:M455))),IF(COUNTIF($M$3:M455,"9")=0,10^9,LOOKUP(2,1/($M$3:M455="9"),ROW($M$3:M455))))-ROW($M$3)+1),"")),AND(N456&lt;&gt;"",N456=IFERROR(INDEX($N$3:N455,MIN(IF(COUNTIF($N$3:N455,"鼠")=0,10^9,LOOKUP(2,1/($N$3:N455="鼠"),ROW($N$3:N455))),IF(COUNTIF($N$3:N455,"牛")=0,10^9,LOOKUP(2,1/($N$3:N455="牛"),ROW($N$3:N455))),IF(COUNTIF($N$3:N455,"虎")=0,10^9,LOOKUP(2,1/($N$3:N455="虎"),ROW($N$3:N455))),IF(COUNTIF($N$3:N455,"兔")=0,10^9,LOOKUP(2,1/($N$3:N455="兔"),ROW($N$3:N455))),IF(COUNTIF($N$3:N455,"龙")=0,10^9,LOOKUP(2,1/($N$3:N455="龙"),ROW($N$3:N455))),IF(COUNTIF($N$3:N455,"蛇")=0,10^9,LOOKUP(2,1/($N$3:N455="蛇"),ROW($N$3:N455))),IF(COUNTIF($N$3:N455,"马")=0,10^9,LOOKUP(2,1/($N$3:N455="马"),ROW($N$3:N455))),IF(COUNTIF($N$3:N455,"羊")=0,10^9,LOOKUP(2,1/($N$3:N455="羊"),ROW($N$3:N455))),IF(COUNTIF($N$3:N455,"猴")=0,10^9,LOOKUP(2,1/($N$3:N455="猴"),ROW($N$3:N455))),IF(COUNTIF($N$3:N455,"鸡")=0,10^9,LOOKUP(2,1/($N$3:N455="鸡"),ROW($N$3:N455))),IF(COUNTIF($N$3:N455,"狗")=0,10^9,LOOKUP(2,1/($N$3:N455="狗"),ROW($N$3:N455))),IF(COUNTIF($N$3:N455,"猪")=0,10^9,LOOKUP(2,1/($N$3:N455="猪"),ROW($N$3:N455))))-ROW($N$3)+1),""))),0,IF(ISNUMBER(J455),J455+1,1)))</f>
        <v/>
      </c>
      <c r="K456" s="5" t="e">
        <f t="shared" si="48"/>
        <v>#N/A</v>
      </c>
      <c r="M456" s="6" t="str">
        <f t="shared" si="44"/>
        <v/>
      </c>
      <c r="N456" s="2" t="e">
        <f t="shared" si="45"/>
        <v>#N/A</v>
      </c>
      <c r="O456" s="7" t="str">
        <f>IF(M456="","",IF(COUNTIF(M457:$M$1000,M456)&gt;0,"",M456))</f>
        <v/>
      </c>
      <c r="P456" s="8" t="e">
        <f>IF(N456="","",IF(COUNTIF(N457:$N$1000,N456)&gt;0,"",N456))</f>
        <v>#N/A</v>
      </c>
      <c r="Q456" s="21" t="e">
        <f t="shared" si="46"/>
        <v>#NUM!</v>
      </c>
      <c r="R456" s="22" t="e">
        <f t="shared" si="47"/>
        <v>#NUM!</v>
      </c>
      <c r="S456" s="11"/>
      <c r="T456" s="11"/>
      <c r="U456" s="11"/>
      <c r="W456" s="11"/>
      <c r="X456" s="2"/>
      <c r="Y456" s="2"/>
    </row>
    <row r="457" s="1" customFormat="1" spans="1:25">
      <c r="A457" s="2">
        <v>115057092</v>
      </c>
      <c r="B457" s="2"/>
      <c r="C457" s="2"/>
      <c r="D457" s="2"/>
      <c r="E457" s="2"/>
      <c r="F457" s="2"/>
      <c r="G457" s="2"/>
      <c r="H457" s="3"/>
      <c r="I457" s="2" t="e">
        <f t="shared" si="43"/>
        <v>#N/A</v>
      </c>
      <c r="J457" s="4" t="str">
        <f>IF(H457="","",IF(OR(AND(M457&lt;&gt;"",M457=IFERROR(INDEX($M$3:M456,MIN(IF(COUNTIF($M$3:M456,"0")=0,10^9,LOOKUP(2,1/($M$3:M456="0"),ROW($M$3:M456))),IF(COUNTIF($M$3:M456,"1")=0,10^9,LOOKUP(2,1/($M$3:M456="1"),ROW($M$3:M456))),IF(COUNTIF($M$3:M456,"2")=0,10^9,LOOKUP(2,1/($M$3:M456="2"),ROW($M$3:M456))),IF(COUNTIF($M$3:M456,"3")=0,10^9,LOOKUP(2,1/($M$3:M456="3"),ROW($M$3:M456))),IF(COUNTIF($M$3:M456,"4")=0,10^9,LOOKUP(2,1/($M$3:M456="4"),ROW($M$3:M456))),IF(COUNTIF($M$3:M456,"5")=0,10^9,LOOKUP(2,1/($M$3:M456="5"),ROW($M$3:M456))),IF(COUNTIF($M$3:M456,"6")=0,10^9,LOOKUP(2,1/($M$3:M456="6"),ROW($M$3:M456))),IF(COUNTIF($M$3:M456,"7")=0,10^9,LOOKUP(2,1/($M$3:M456="7"),ROW($M$3:M456))),IF(COUNTIF($M$3:M456,"8")=0,10^9,LOOKUP(2,1/($M$3:M456="8"),ROW($M$3:M456))),IF(COUNTIF($M$3:M456,"9")=0,10^9,LOOKUP(2,1/($M$3:M456="9"),ROW($M$3:M456))))-ROW($M$3)+1),"")),AND(N457&lt;&gt;"",N457=IFERROR(INDEX($N$3:N456,MIN(IF(COUNTIF($N$3:N456,"鼠")=0,10^9,LOOKUP(2,1/($N$3:N456="鼠"),ROW($N$3:N456))),IF(COUNTIF($N$3:N456,"牛")=0,10^9,LOOKUP(2,1/($N$3:N456="牛"),ROW($N$3:N456))),IF(COUNTIF($N$3:N456,"虎")=0,10^9,LOOKUP(2,1/($N$3:N456="虎"),ROW($N$3:N456))),IF(COUNTIF($N$3:N456,"兔")=0,10^9,LOOKUP(2,1/($N$3:N456="兔"),ROW($N$3:N456))),IF(COUNTIF($N$3:N456,"龙")=0,10^9,LOOKUP(2,1/($N$3:N456="龙"),ROW($N$3:N456))),IF(COUNTIF($N$3:N456,"蛇")=0,10^9,LOOKUP(2,1/($N$3:N456="蛇"),ROW($N$3:N456))),IF(COUNTIF($N$3:N456,"马")=0,10^9,LOOKUP(2,1/($N$3:N456="马"),ROW($N$3:N456))),IF(COUNTIF($N$3:N456,"羊")=0,10^9,LOOKUP(2,1/($N$3:N456="羊"),ROW($N$3:N456))),IF(COUNTIF($N$3:N456,"猴")=0,10^9,LOOKUP(2,1/($N$3:N456="猴"),ROW($N$3:N456))),IF(COUNTIF($N$3:N456,"鸡")=0,10^9,LOOKUP(2,1/($N$3:N456="鸡"),ROW($N$3:N456))),IF(COUNTIF($N$3:N456,"狗")=0,10^9,LOOKUP(2,1/($N$3:N456="狗"),ROW($N$3:N456))),IF(COUNTIF($N$3:N456,"猪")=0,10^9,LOOKUP(2,1/($N$3:N456="猪"),ROW($N$3:N456))))-ROW($N$3)+1),""))),0,IF(ISNUMBER(J456),J456+1,1)))</f>
        <v/>
      </c>
      <c r="K457" s="5" t="e">
        <f t="shared" si="48"/>
        <v>#N/A</v>
      </c>
      <c r="M457" s="6" t="str">
        <f t="shared" si="44"/>
        <v/>
      </c>
      <c r="N457" s="2" t="e">
        <f t="shared" si="45"/>
        <v>#N/A</v>
      </c>
      <c r="O457" s="7" t="str">
        <f>IF(M457="","",IF(COUNTIF(M458:$M$1000,M457)&gt;0,"",M457))</f>
        <v/>
      </c>
      <c r="P457" s="8" t="e">
        <f>IF(N457="","",IF(COUNTIF(N458:$N$1000,N457)&gt;0,"",N457))</f>
        <v>#N/A</v>
      </c>
      <c r="Q457" s="21" t="e">
        <f t="shared" si="46"/>
        <v>#NUM!</v>
      </c>
      <c r="R457" s="22" t="e">
        <f t="shared" si="47"/>
        <v>#NUM!</v>
      </c>
      <c r="S457" s="11"/>
      <c r="T457" s="11"/>
      <c r="U457" s="11"/>
      <c r="W457" s="11"/>
      <c r="X457" s="2"/>
      <c r="Y457" s="2"/>
    </row>
    <row r="458" s="1" customFormat="1" spans="1:25">
      <c r="A458" s="2">
        <v>115057093</v>
      </c>
      <c r="B458" s="2"/>
      <c r="C458" s="2"/>
      <c r="D458" s="2"/>
      <c r="E458" s="2"/>
      <c r="F458" s="2"/>
      <c r="G458" s="2"/>
      <c r="H458" s="3"/>
      <c r="I458" s="2" t="e">
        <f t="shared" si="43"/>
        <v>#N/A</v>
      </c>
      <c r="J458" s="4" t="str">
        <f>IF(H458="","",IF(OR(AND(M458&lt;&gt;"",M458=IFERROR(INDEX($M$3:M457,MIN(IF(COUNTIF($M$3:M457,"0")=0,10^9,LOOKUP(2,1/($M$3:M457="0"),ROW($M$3:M457))),IF(COUNTIF($M$3:M457,"1")=0,10^9,LOOKUP(2,1/($M$3:M457="1"),ROW($M$3:M457))),IF(COUNTIF($M$3:M457,"2")=0,10^9,LOOKUP(2,1/($M$3:M457="2"),ROW($M$3:M457))),IF(COUNTIF($M$3:M457,"3")=0,10^9,LOOKUP(2,1/($M$3:M457="3"),ROW($M$3:M457))),IF(COUNTIF($M$3:M457,"4")=0,10^9,LOOKUP(2,1/($M$3:M457="4"),ROW($M$3:M457))),IF(COUNTIF($M$3:M457,"5")=0,10^9,LOOKUP(2,1/($M$3:M457="5"),ROW($M$3:M457))),IF(COUNTIF($M$3:M457,"6")=0,10^9,LOOKUP(2,1/($M$3:M457="6"),ROW($M$3:M457))),IF(COUNTIF($M$3:M457,"7")=0,10^9,LOOKUP(2,1/($M$3:M457="7"),ROW($M$3:M457))),IF(COUNTIF($M$3:M457,"8")=0,10^9,LOOKUP(2,1/($M$3:M457="8"),ROW($M$3:M457))),IF(COUNTIF($M$3:M457,"9")=0,10^9,LOOKUP(2,1/($M$3:M457="9"),ROW($M$3:M457))))-ROW($M$3)+1),"")),AND(N458&lt;&gt;"",N458=IFERROR(INDEX($N$3:N457,MIN(IF(COUNTIF($N$3:N457,"鼠")=0,10^9,LOOKUP(2,1/($N$3:N457="鼠"),ROW($N$3:N457))),IF(COUNTIF($N$3:N457,"牛")=0,10^9,LOOKUP(2,1/($N$3:N457="牛"),ROW($N$3:N457))),IF(COUNTIF($N$3:N457,"虎")=0,10^9,LOOKUP(2,1/($N$3:N457="虎"),ROW($N$3:N457))),IF(COUNTIF($N$3:N457,"兔")=0,10^9,LOOKUP(2,1/($N$3:N457="兔"),ROW($N$3:N457))),IF(COUNTIF($N$3:N457,"龙")=0,10^9,LOOKUP(2,1/($N$3:N457="龙"),ROW($N$3:N457))),IF(COUNTIF($N$3:N457,"蛇")=0,10^9,LOOKUP(2,1/($N$3:N457="蛇"),ROW($N$3:N457))),IF(COUNTIF($N$3:N457,"马")=0,10^9,LOOKUP(2,1/($N$3:N457="马"),ROW($N$3:N457))),IF(COUNTIF($N$3:N457,"羊")=0,10^9,LOOKUP(2,1/($N$3:N457="羊"),ROW($N$3:N457))),IF(COUNTIF($N$3:N457,"猴")=0,10^9,LOOKUP(2,1/($N$3:N457="猴"),ROW($N$3:N457))),IF(COUNTIF($N$3:N457,"鸡")=0,10^9,LOOKUP(2,1/($N$3:N457="鸡"),ROW($N$3:N457))),IF(COUNTIF($N$3:N457,"狗")=0,10^9,LOOKUP(2,1/($N$3:N457="狗"),ROW($N$3:N457))),IF(COUNTIF($N$3:N457,"猪")=0,10^9,LOOKUP(2,1/($N$3:N457="猪"),ROW($N$3:N457))))-ROW($N$3)+1),""))),0,IF(ISNUMBER(J457),J457+1,1)))</f>
        <v/>
      </c>
      <c r="K458" s="5" t="e">
        <f t="shared" si="48"/>
        <v>#N/A</v>
      </c>
      <c r="M458" s="6" t="str">
        <f t="shared" si="44"/>
        <v/>
      </c>
      <c r="N458" s="2" t="e">
        <f t="shared" si="45"/>
        <v>#N/A</v>
      </c>
      <c r="O458" s="7" t="str">
        <f>IF(M458="","",IF(COUNTIF(M459:$M$1000,M458)&gt;0,"",M458))</f>
        <v/>
      </c>
      <c r="P458" s="8" t="e">
        <f>IF(N458="","",IF(COUNTIF(N459:$N$1000,N458)&gt;0,"",N458))</f>
        <v>#N/A</v>
      </c>
      <c r="Q458" s="21" t="e">
        <f t="shared" si="46"/>
        <v>#NUM!</v>
      </c>
      <c r="R458" s="22" t="e">
        <f t="shared" si="47"/>
        <v>#NUM!</v>
      </c>
      <c r="S458" s="11"/>
      <c r="T458" s="11"/>
      <c r="U458" s="11"/>
      <c r="W458" s="11"/>
      <c r="X458" s="2"/>
      <c r="Y458" s="2"/>
    </row>
    <row r="459" s="1" customFormat="1" spans="1:25">
      <c r="A459" s="2">
        <v>115057094</v>
      </c>
      <c r="B459" s="2"/>
      <c r="C459" s="2"/>
      <c r="D459" s="2"/>
      <c r="E459" s="2"/>
      <c r="F459" s="2"/>
      <c r="G459" s="2"/>
      <c r="H459" s="3"/>
      <c r="I459" s="2" t="e">
        <f t="shared" si="43"/>
        <v>#N/A</v>
      </c>
      <c r="J459" s="4" t="str">
        <f>IF(H459="","",IF(OR(AND(M459&lt;&gt;"",M459=IFERROR(INDEX($M$3:M458,MIN(IF(COUNTIF($M$3:M458,"0")=0,10^9,LOOKUP(2,1/($M$3:M458="0"),ROW($M$3:M458))),IF(COUNTIF($M$3:M458,"1")=0,10^9,LOOKUP(2,1/($M$3:M458="1"),ROW($M$3:M458))),IF(COUNTIF($M$3:M458,"2")=0,10^9,LOOKUP(2,1/($M$3:M458="2"),ROW($M$3:M458))),IF(COUNTIF($M$3:M458,"3")=0,10^9,LOOKUP(2,1/($M$3:M458="3"),ROW($M$3:M458))),IF(COUNTIF($M$3:M458,"4")=0,10^9,LOOKUP(2,1/($M$3:M458="4"),ROW($M$3:M458))),IF(COUNTIF($M$3:M458,"5")=0,10^9,LOOKUP(2,1/($M$3:M458="5"),ROW($M$3:M458))),IF(COUNTIF($M$3:M458,"6")=0,10^9,LOOKUP(2,1/($M$3:M458="6"),ROW($M$3:M458))),IF(COUNTIF($M$3:M458,"7")=0,10^9,LOOKUP(2,1/($M$3:M458="7"),ROW($M$3:M458))),IF(COUNTIF($M$3:M458,"8")=0,10^9,LOOKUP(2,1/($M$3:M458="8"),ROW($M$3:M458))),IF(COUNTIF($M$3:M458,"9")=0,10^9,LOOKUP(2,1/($M$3:M458="9"),ROW($M$3:M458))))-ROW($M$3)+1),"")),AND(N459&lt;&gt;"",N459=IFERROR(INDEX($N$3:N458,MIN(IF(COUNTIF($N$3:N458,"鼠")=0,10^9,LOOKUP(2,1/($N$3:N458="鼠"),ROW($N$3:N458))),IF(COUNTIF($N$3:N458,"牛")=0,10^9,LOOKUP(2,1/($N$3:N458="牛"),ROW($N$3:N458))),IF(COUNTIF($N$3:N458,"虎")=0,10^9,LOOKUP(2,1/($N$3:N458="虎"),ROW($N$3:N458))),IF(COUNTIF($N$3:N458,"兔")=0,10^9,LOOKUP(2,1/($N$3:N458="兔"),ROW($N$3:N458))),IF(COUNTIF($N$3:N458,"龙")=0,10^9,LOOKUP(2,1/($N$3:N458="龙"),ROW($N$3:N458))),IF(COUNTIF($N$3:N458,"蛇")=0,10^9,LOOKUP(2,1/($N$3:N458="蛇"),ROW($N$3:N458))),IF(COUNTIF($N$3:N458,"马")=0,10^9,LOOKUP(2,1/($N$3:N458="马"),ROW($N$3:N458))),IF(COUNTIF($N$3:N458,"羊")=0,10^9,LOOKUP(2,1/($N$3:N458="羊"),ROW($N$3:N458))),IF(COUNTIF($N$3:N458,"猴")=0,10^9,LOOKUP(2,1/($N$3:N458="猴"),ROW($N$3:N458))),IF(COUNTIF($N$3:N458,"鸡")=0,10^9,LOOKUP(2,1/($N$3:N458="鸡"),ROW($N$3:N458))),IF(COUNTIF($N$3:N458,"狗")=0,10^9,LOOKUP(2,1/($N$3:N458="狗"),ROW($N$3:N458))),IF(COUNTIF($N$3:N458,"猪")=0,10^9,LOOKUP(2,1/($N$3:N458="猪"),ROW($N$3:N458))))-ROW($N$3)+1),""))),0,IF(ISNUMBER(J458),J458+1,1)))</f>
        <v/>
      </c>
      <c r="K459" s="5" t="e">
        <f t="shared" si="48"/>
        <v>#N/A</v>
      </c>
      <c r="M459" s="6" t="str">
        <f t="shared" si="44"/>
        <v/>
      </c>
      <c r="N459" s="2" t="e">
        <f t="shared" si="45"/>
        <v>#N/A</v>
      </c>
      <c r="O459" s="7" t="str">
        <f>IF(M459="","",IF(COUNTIF(M460:$M$1000,M459)&gt;0,"",M459))</f>
        <v/>
      </c>
      <c r="P459" s="8" t="e">
        <f>IF(N459="","",IF(COUNTIF(N460:$N$1000,N459)&gt;0,"",N459))</f>
        <v>#N/A</v>
      </c>
      <c r="Q459" s="21" t="e">
        <f t="shared" si="46"/>
        <v>#NUM!</v>
      </c>
      <c r="R459" s="22" t="e">
        <f t="shared" si="47"/>
        <v>#NUM!</v>
      </c>
      <c r="S459" s="11"/>
      <c r="T459" s="11"/>
      <c r="U459" s="11"/>
      <c r="W459" s="11"/>
      <c r="X459" s="2"/>
      <c r="Y459" s="2"/>
    </row>
    <row r="460" s="1" customFormat="1" spans="1:25">
      <c r="A460" s="2">
        <v>115057095</v>
      </c>
      <c r="B460" s="2"/>
      <c r="C460" s="2"/>
      <c r="D460" s="2"/>
      <c r="E460" s="2"/>
      <c r="F460" s="2"/>
      <c r="G460" s="2"/>
      <c r="H460" s="3"/>
      <c r="I460" s="2" t="e">
        <f t="shared" si="43"/>
        <v>#N/A</v>
      </c>
      <c r="J460" s="4" t="str">
        <f>IF(H460="","",IF(OR(AND(M460&lt;&gt;"",M460=IFERROR(INDEX($M$3:M459,MIN(IF(COUNTIF($M$3:M459,"0")=0,10^9,LOOKUP(2,1/($M$3:M459="0"),ROW($M$3:M459))),IF(COUNTIF($M$3:M459,"1")=0,10^9,LOOKUP(2,1/($M$3:M459="1"),ROW($M$3:M459))),IF(COUNTIF($M$3:M459,"2")=0,10^9,LOOKUP(2,1/($M$3:M459="2"),ROW($M$3:M459))),IF(COUNTIF($M$3:M459,"3")=0,10^9,LOOKUP(2,1/($M$3:M459="3"),ROW($M$3:M459))),IF(COUNTIF($M$3:M459,"4")=0,10^9,LOOKUP(2,1/($M$3:M459="4"),ROW($M$3:M459))),IF(COUNTIF($M$3:M459,"5")=0,10^9,LOOKUP(2,1/($M$3:M459="5"),ROW($M$3:M459))),IF(COUNTIF($M$3:M459,"6")=0,10^9,LOOKUP(2,1/($M$3:M459="6"),ROW($M$3:M459))),IF(COUNTIF($M$3:M459,"7")=0,10^9,LOOKUP(2,1/($M$3:M459="7"),ROW($M$3:M459))),IF(COUNTIF($M$3:M459,"8")=0,10^9,LOOKUP(2,1/($M$3:M459="8"),ROW($M$3:M459))),IF(COUNTIF($M$3:M459,"9")=0,10^9,LOOKUP(2,1/($M$3:M459="9"),ROW($M$3:M459))))-ROW($M$3)+1),"")),AND(N460&lt;&gt;"",N460=IFERROR(INDEX($N$3:N459,MIN(IF(COUNTIF($N$3:N459,"鼠")=0,10^9,LOOKUP(2,1/($N$3:N459="鼠"),ROW($N$3:N459))),IF(COUNTIF($N$3:N459,"牛")=0,10^9,LOOKUP(2,1/($N$3:N459="牛"),ROW($N$3:N459))),IF(COUNTIF($N$3:N459,"虎")=0,10^9,LOOKUP(2,1/($N$3:N459="虎"),ROW($N$3:N459))),IF(COUNTIF($N$3:N459,"兔")=0,10^9,LOOKUP(2,1/($N$3:N459="兔"),ROW($N$3:N459))),IF(COUNTIF($N$3:N459,"龙")=0,10^9,LOOKUP(2,1/($N$3:N459="龙"),ROW($N$3:N459))),IF(COUNTIF($N$3:N459,"蛇")=0,10^9,LOOKUP(2,1/($N$3:N459="蛇"),ROW($N$3:N459))),IF(COUNTIF($N$3:N459,"马")=0,10^9,LOOKUP(2,1/($N$3:N459="马"),ROW($N$3:N459))),IF(COUNTIF($N$3:N459,"羊")=0,10^9,LOOKUP(2,1/($N$3:N459="羊"),ROW($N$3:N459))),IF(COUNTIF($N$3:N459,"猴")=0,10^9,LOOKUP(2,1/($N$3:N459="猴"),ROW($N$3:N459))),IF(COUNTIF($N$3:N459,"鸡")=0,10^9,LOOKUP(2,1/($N$3:N459="鸡"),ROW($N$3:N459))),IF(COUNTIF($N$3:N459,"狗")=0,10^9,LOOKUP(2,1/($N$3:N459="狗"),ROW($N$3:N459))),IF(COUNTIF($N$3:N459,"猪")=0,10^9,LOOKUP(2,1/($N$3:N459="猪"),ROW($N$3:N459))))-ROW($N$3)+1),""))),0,IF(ISNUMBER(J459),J459+1,1)))</f>
        <v/>
      </c>
      <c r="K460" s="5" t="e">
        <f t="shared" si="48"/>
        <v>#N/A</v>
      </c>
      <c r="M460" s="6" t="str">
        <f t="shared" si="44"/>
        <v/>
      </c>
      <c r="N460" s="2" t="e">
        <f t="shared" si="45"/>
        <v>#N/A</v>
      </c>
      <c r="O460" s="7" t="str">
        <f>IF(M460="","",IF(COUNTIF(M461:$M$1000,M460)&gt;0,"",M460))</f>
        <v/>
      </c>
      <c r="P460" s="8" t="e">
        <f>IF(N460="","",IF(COUNTIF(N461:$N$1000,N460)&gt;0,"",N460))</f>
        <v>#N/A</v>
      </c>
      <c r="Q460" s="21" t="e">
        <f t="shared" si="46"/>
        <v>#NUM!</v>
      </c>
      <c r="R460" s="22" t="e">
        <f t="shared" si="47"/>
        <v>#NUM!</v>
      </c>
      <c r="S460" s="11"/>
      <c r="T460" s="11"/>
      <c r="U460" s="11"/>
      <c r="W460" s="11"/>
      <c r="X460" s="2"/>
      <c r="Y460" s="2"/>
    </row>
    <row r="461" s="1" customFormat="1" spans="1:25">
      <c r="A461" s="2">
        <v>115057096</v>
      </c>
      <c r="B461" s="2"/>
      <c r="C461" s="2"/>
      <c r="D461" s="2"/>
      <c r="E461" s="2"/>
      <c r="F461" s="2"/>
      <c r="G461" s="2"/>
      <c r="H461" s="3"/>
      <c r="I461" s="2" t="e">
        <f t="shared" si="43"/>
        <v>#N/A</v>
      </c>
      <c r="J461" s="4" t="str">
        <f>IF(H461="","",IF(OR(AND(M461&lt;&gt;"",M461=IFERROR(INDEX($M$3:M460,MIN(IF(COUNTIF($M$3:M460,"0")=0,10^9,LOOKUP(2,1/($M$3:M460="0"),ROW($M$3:M460))),IF(COUNTIF($M$3:M460,"1")=0,10^9,LOOKUP(2,1/($M$3:M460="1"),ROW($M$3:M460))),IF(COUNTIF($M$3:M460,"2")=0,10^9,LOOKUP(2,1/($M$3:M460="2"),ROW($M$3:M460))),IF(COUNTIF($M$3:M460,"3")=0,10^9,LOOKUP(2,1/($M$3:M460="3"),ROW($M$3:M460))),IF(COUNTIF($M$3:M460,"4")=0,10^9,LOOKUP(2,1/($M$3:M460="4"),ROW($M$3:M460))),IF(COUNTIF($M$3:M460,"5")=0,10^9,LOOKUP(2,1/($M$3:M460="5"),ROW($M$3:M460))),IF(COUNTIF($M$3:M460,"6")=0,10^9,LOOKUP(2,1/($M$3:M460="6"),ROW($M$3:M460))),IF(COUNTIF($M$3:M460,"7")=0,10^9,LOOKUP(2,1/($M$3:M460="7"),ROW($M$3:M460))),IF(COUNTIF($M$3:M460,"8")=0,10^9,LOOKUP(2,1/($M$3:M460="8"),ROW($M$3:M460))),IF(COUNTIF($M$3:M460,"9")=0,10^9,LOOKUP(2,1/($M$3:M460="9"),ROW($M$3:M460))))-ROW($M$3)+1),"")),AND(N461&lt;&gt;"",N461=IFERROR(INDEX($N$3:N460,MIN(IF(COUNTIF($N$3:N460,"鼠")=0,10^9,LOOKUP(2,1/($N$3:N460="鼠"),ROW($N$3:N460))),IF(COUNTIF($N$3:N460,"牛")=0,10^9,LOOKUP(2,1/($N$3:N460="牛"),ROW($N$3:N460))),IF(COUNTIF($N$3:N460,"虎")=0,10^9,LOOKUP(2,1/($N$3:N460="虎"),ROW($N$3:N460))),IF(COUNTIF($N$3:N460,"兔")=0,10^9,LOOKUP(2,1/($N$3:N460="兔"),ROW($N$3:N460))),IF(COUNTIF($N$3:N460,"龙")=0,10^9,LOOKUP(2,1/($N$3:N460="龙"),ROW($N$3:N460))),IF(COUNTIF($N$3:N460,"蛇")=0,10^9,LOOKUP(2,1/($N$3:N460="蛇"),ROW($N$3:N460))),IF(COUNTIF($N$3:N460,"马")=0,10^9,LOOKUP(2,1/($N$3:N460="马"),ROW($N$3:N460))),IF(COUNTIF($N$3:N460,"羊")=0,10^9,LOOKUP(2,1/($N$3:N460="羊"),ROW($N$3:N460))),IF(COUNTIF($N$3:N460,"猴")=0,10^9,LOOKUP(2,1/($N$3:N460="猴"),ROW($N$3:N460))),IF(COUNTIF($N$3:N460,"鸡")=0,10^9,LOOKUP(2,1/($N$3:N460="鸡"),ROW($N$3:N460))),IF(COUNTIF($N$3:N460,"狗")=0,10^9,LOOKUP(2,1/($N$3:N460="狗"),ROW($N$3:N460))),IF(COUNTIF($N$3:N460,"猪")=0,10^9,LOOKUP(2,1/($N$3:N460="猪"),ROW($N$3:N460))))-ROW($N$3)+1),""))),0,IF(ISNUMBER(J460),J460+1,1)))</f>
        <v/>
      </c>
      <c r="K461" s="5" t="e">
        <f t="shared" si="48"/>
        <v>#N/A</v>
      </c>
      <c r="M461" s="6" t="str">
        <f t="shared" si="44"/>
        <v/>
      </c>
      <c r="N461" s="2" t="e">
        <f t="shared" si="45"/>
        <v>#N/A</v>
      </c>
      <c r="O461" s="7" t="str">
        <f>IF(M461="","",IF(COUNTIF(M462:$M$1000,M461)&gt;0,"",M461))</f>
        <v/>
      </c>
      <c r="P461" s="8" t="e">
        <f>IF(N461="","",IF(COUNTIF(N462:$N$1000,N461)&gt;0,"",N461))</f>
        <v>#N/A</v>
      </c>
      <c r="Q461" s="21" t="e">
        <f t="shared" si="46"/>
        <v>#NUM!</v>
      </c>
      <c r="R461" s="22" t="e">
        <f t="shared" si="47"/>
        <v>#NUM!</v>
      </c>
      <c r="S461" s="11"/>
      <c r="T461" s="11"/>
      <c r="U461" s="11"/>
      <c r="W461" s="11"/>
      <c r="X461" s="2"/>
      <c r="Y461" s="2"/>
    </row>
    <row r="462" s="1" customFormat="1" spans="1:25">
      <c r="A462" s="2">
        <v>115057097</v>
      </c>
      <c r="B462" s="2"/>
      <c r="C462" s="2"/>
      <c r="D462" s="2"/>
      <c r="E462" s="2"/>
      <c r="F462" s="2"/>
      <c r="G462" s="2"/>
      <c r="H462" s="3"/>
      <c r="I462" s="2" t="e">
        <f t="shared" si="43"/>
        <v>#N/A</v>
      </c>
      <c r="J462" s="4" t="str">
        <f>IF(H462="","",IF(OR(AND(M462&lt;&gt;"",M462=IFERROR(INDEX($M$3:M461,MIN(IF(COUNTIF($M$3:M461,"0")=0,10^9,LOOKUP(2,1/($M$3:M461="0"),ROW($M$3:M461))),IF(COUNTIF($M$3:M461,"1")=0,10^9,LOOKUP(2,1/($M$3:M461="1"),ROW($M$3:M461))),IF(COUNTIF($M$3:M461,"2")=0,10^9,LOOKUP(2,1/($M$3:M461="2"),ROW($M$3:M461))),IF(COUNTIF($M$3:M461,"3")=0,10^9,LOOKUP(2,1/($M$3:M461="3"),ROW($M$3:M461))),IF(COUNTIF($M$3:M461,"4")=0,10^9,LOOKUP(2,1/($M$3:M461="4"),ROW($M$3:M461))),IF(COUNTIF($M$3:M461,"5")=0,10^9,LOOKUP(2,1/($M$3:M461="5"),ROW($M$3:M461))),IF(COUNTIF($M$3:M461,"6")=0,10^9,LOOKUP(2,1/($M$3:M461="6"),ROW($M$3:M461))),IF(COUNTIF($M$3:M461,"7")=0,10^9,LOOKUP(2,1/($M$3:M461="7"),ROW($M$3:M461))),IF(COUNTIF($M$3:M461,"8")=0,10^9,LOOKUP(2,1/($M$3:M461="8"),ROW($M$3:M461))),IF(COUNTIF($M$3:M461,"9")=0,10^9,LOOKUP(2,1/($M$3:M461="9"),ROW($M$3:M461))))-ROW($M$3)+1),"")),AND(N462&lt;&gt;"",N462=IFERROR(INDEX($N$3:N461,MIN(IF(COUNTIF($N$3:N461,"鼠")=0,10^9,LOOKUP(2,1/($N$3:N461="鼠"),ROW($N$3:N461))),IF(COUNTIF($N$3:N461,"牛")=0,10^9,LOOKUP(2,1/($N$3:N461="牛"),ROW($N$3:N461))),IF(COUNTIF($N$3:N461,"虎")=0,10^9,LOOKUP(2,1/($N$3:N461="虎"),ROW($N$3:N461))),IF(COUNTIF($N$3:N461,"兔")=0,10^9,LOOKUP(2,1/($N$3:N461="兔"),ROW($N$3:N461))),IF(COUNTIF($N$3:N461,"龙")=0,10^9,LOOKUP(2,1/($N$3:N461="龙"),ROW($N$3:N461))),IF(COUNTIF($N$3:N461,"蛇")=0,10^9,LOOKUP(2,1/($N$3:N461="蛇"),ROW($N$3:N461))),IF(COUNTIF($N$3:N461,"马")=0,10^9,LOOKUP(2,1/($N$3:N461="马"),ROW($N$3:N461))),IF(COUNTIF($N$3:N461,"羊")=0,10^9,LOOKUP(2,1/($N$3:N461="羊"),ROW($N$3:N461))),IF(COUNTIF($N$3:N461,"猴")=0,10^9,LOOKUP(2,1/($N$3:N461="猴"),ROW($N$3:N461))),IF(COUNTIF($N$3:N461,"鸡")=0,10^9,LOOKUP(2,1/($N$3:N461="鸡"),ROW($N$3:N461))),IF(COUNTIF($N$3:N461,"狗")=0,10^9,LOOKUP(2,1/($N$3:N461="狗"),ROW($N$3:N461))),IF(COUNTIF($N$3:N461,"猪")=0,10^9,LOOKUP(2,1/($N$3:N461="猪"),ROW($N$3:N461))))-ROW($N$3)+1),""))),0,IF(ISNUMBER(J461),J461+1,1)))</f>
        <v/>
      </c>
      <c r="K462" s="5" t="e">
        <f t="shared" si="48"/>
        <v>#N/A</v>
      </c>
      <c r="M462" s="6" t="str">
        <f t="shared" si="44"/>
        <v/>
      </c>
      <c r="N462" s="2" t="e">
        <f t="shared" si="45"/>
        <v>#N/A</v>
      </c>
      <c r="O462" s="7" t="str">
        <f>IF(M462="","",IF(COUNTIF(M463:$M$1000,M462)&gt;0,"",M462))</f>
        <v/>
      </c>
      <c r="P462" s="8" t="e">
        <f>IF(N462="","",IF(COUNTIF(N463:$N$1000,N462)&gt;0,"",N462))</f>
        <v>#N/A</v>
      </c>
      <c r="Q462" s="21" t="e">
        <f t="shared" si="46"/>
        <v>#NUM!</v>
      </c>
      <c r="R462" s="22" t="e">
        <f t="shared" si="47"/>
        <v>#NUM!</v>
      </c>
      <c r="S462" s="11"/>
      <c r="T462" s="11"/>
      <c r="U462" s="11"/>
      <c r="W462" s="11"/>
      <c r="X462" s="2"/>
      <c r="Y462" s="2"/>
    </row>
    <row r="463" s="1" customFormat="1" spans="1:25">
      <c r="A463" s="2">
        <v>115057098</v>
      </c>
      <c r="B463" s="2"/>
      <c r="C463" s="2"/>
      <c r="D463" s="2"/>
      <c r="E463" s="2"/>
      <c r="F463" s="2"/>
      <c r="G463" s="2"/>
      <c r="H463" s="3"/>
      <c r="I463" s="2" t="e">
        <f t="shared" si="43"/>
        <v>#N/A</v>
      </c>
      <c r="J463" s="4" t="str">
        <f>IF(H463="","",IF(OR(AND(M463&lt;&gt;"",M463=IFERROR(INDEX($M$3:M462,MIN(IF(COUNTIF($M$3:M462,"0")=0,10^9,LOOKUP(2,1/($M$3:M462="0"),ROW($M$3:M462))),IF(COUNTIF($M$3:M462,"1")=0,10^9,LOOKUP(2,1/($M$3:M462="1"),ROW($M$3:M462))),IF(COUNTIF($M$3:M462,"2")=0,10^9,LOOKUP(2,1/($M$3:M462="2"),ROW($M$3:M462))),IF(COUNTIF($M$3:M462,"3")=0,10^9,LOOKUP(2,1/($M$3:M462="3"),ROW($M$3:M462))),IF(COUNTIF($M$3:M462,"4")=0,10^9,LOOKUP(2,1/($M$3:M462="4"),ROW($M$3:M462))),IF(COUNTIF($M$3:M462,"5")=0,10^9,LOOKUP(2,1/($M$3:M462="5"),ROW($M$3:M462))),IF(COUNTIF($M$3:M462,"6")=0,10^9,LOOKUP(2,1/($M$3:M462="6"),ROW($M$3:M462))),IF(COUNTIF($M$3:M462,"7")=0,10^9,LOOKUP(2,1/($M$3:M462="7"),ROW($M$3:M462))),IF(COUNTIF($M$3:M462,"8")=0,10^9,LOOKUP(2,1/($M$3:M462="8"),ROW($M$3:M462))),IF(COUNTIF($M$3:M462,"9")=0,10^9,LOOKUP(2,1/($M$3:M462="9"),ROW($M$3:M462))))-ROW($M$3)+1),"")),AND(N463&lt;&gt;"",N463=IFERROR(INDEX($N$3:N462,MIN(IF(COUNTIF($N$3:N462,"鼠")=0,10^9,LOOKUP(2,1/($N$3:N462="鼠"),ROW($N$3:N462))),IF(COUNTIF($N$3:N462,"牛")=0,10^9,LOOKUP(2,1/($N$3:N462="牛"),ROW($N$3:N462))),IF(COUNTIF($N$3:N462,"虎")=0,10^9,LOOKUP(2,1/($N$3:N462="虎"),ROW($N$3:N462))),IF(COUNTIF($N$3:N462,"兔")=0,10^9,LOOKUP(2,1/($N$3:N462="兔"),ROW($N$3:N462))),IF(COUNTIF($N$3:N462,"龙")=0,10^9,LOOKUP(2,1/($N$3:N462="龙"),ROW($N$3:N462))),IF(COUNTIF($N$3:N462,"蛇")=0,10^9,LOOKUP(2,1/($N$3:N462="蛇"),ROW($N$3:N462))),IF(COUNTIF($N$3:N462,"马")=0,10^9,LOOKUP(2,1/($N$3:N462="马"),ROW($N$3:N462))),IF(COUNTIF($N$3:N462,"羊")=0,10^9,LOOKUP(2,1/($N$3:N462="羊"),ROW($N$3:N462))),IF(COUNTIF($N$3:N462,"猴")=0,10^9,LOOKUP(2,1/($N$3:N462="猴"),ROW($N$3:N462))),IF(COUNTIF($N$3:N462,"鸡")=0,10^9,LOOKUP(2,1/($N$3:N462="鸡"),ROW($N$3:N462))),IF(COUNTIF($N$3:N462,"狗")=0,10^9,LOOKUP(2,1/($N$3:N462="狗"),ROW($N$3:N462))),IF(COUNTIF($N$3:N462,"猪")=0,10^9,LOOKUP(2,1/($N$3:N462="猪"),ROW($N$3:N462))))-ROW($N$3)+1),""))),0,IF(ISNUMBER(J462),J462+1,1)))</f>
        <v/>
      </c>
      <c r="K463" s="5" t="e">
        <f t="shared" si="48"/>
        <v>#N/A</v>
      </c>
      <c r="M463" s="6" t="str">
        <f t="shared" si="44"/>
        <v/>
      </c>
      <c r="N463" s="2" t="e">
        <f t="shared" si="45"/>
        <v>#N/A</v>
      </c>
      <c r="O463" s="7" t="str">
        <f>IF(M463="","",IF(COUNTIF(M464:$M$1000,M463)&gt;0,"",M463))</f>
        <v/>
      </c>
      <c r="P463" s="8" t="e">
        <f>IF(N463="","",IF(COUNTIF(N464:$N$1000,N463)&gt;0,"",N463))</f>
        <v>#N/A</v>
      </c>
      <c r="Q463" s="21" t="e">
        <f t="shared" si="46"/>
        <v>#NUM!</v>
      </c>
      <c r="R463" s="22" t="e">
        <f t="shared" si="47"/>
        <v>#NUM!</v>
      </c>
      <c r="S463" s="11"/>
      <c r="T463" s="11"/>
      <c r="U463" s="11"/>
      <c r="W463" s="11"/>
      <c r="X463" s="2"/>
      <c r="Y463" s="2"/>
    </row>
    <row r="464" s="1" customFormat="1" spans="1:25">
      <c r="A464" s="2">
        <v>115057099</v>
      </c>
      <c r="B464" s="2"/>
      <c r="C464" s="2"/>
      <c r="D464" s="2"/>
      <c r="E464" s="2"/>
      <c r="F464" s="2"/>
      <c r="G464" s="2"/>
      <c r="H464" s="3"/>
      <c r="I464" s="2" t="e">
        <f t="shared" si="43"/>
        <v>#N/A</v>
      </c>
      <c r="J464" s="4" t="str">
        <f>IF(H464="","",IF(OR(AND(M464&lt;&gt;"",M464=IFERROR(INDEX($M$3:M463,MIN(IF(COUNTIF($M$3:M463,"0")=0,10^9,LOOKUP(2,1/($M$3:M463="0"),ROW($M$3:M463))),IF(COUNTIF($M$3:M463,"1")=0,10^9,LOOKUP(2,1/($M$3:M463="1"),ROW($M$3:M463))),IF(COUNTIF($M$3:M463,"2")=0,10^9,LOOKUP(2,1/($M$3:M463="2"),ROW($M$3:M463))),IF(COUNTIF($M$3:M463,"3")=0,10^9,LOOKUP(2,1/($M$3:M463="3"),ROW($M$3:M463))),IF(COUNTIF($M$3:M463,"4")=0,10^9,LOOKUP(2,1/($M$3:M463="4"),ROW($M$3:M463))),IF(COUNTIF($M$3:M463,"5")=0,10^9,LOOKUP(2,1/($M$3:M463="5"),ROW($M$3:M463))),IF(COUNTIF($M$3:M463,"6")=0,10^9,LOOKUP(2,1/($M$3:M463="6"),ROW($M$3:M463))),IF(COUNTIF($M$3:M463,"7")=0,10^9,LOOKUP(2,1/($M$3:M463="7"),ROW($M$3:M463))),IF(COUNTIF($M$3:M463,"8")=0,10^9,LOOKUP(2,1/($M$3:M463="8"),ROW($M$3:M463))),IF(COUNTIF($M$3:M463,"9")=0,10^9,LOOKUP(2,1/($M$3:M463="9"),ROW($M$3:M463))))-ROW($M$3)+1),"")),AND(N464&lt;&gt;"",N464=IFERROR(INDEX($N$3:N463,MIN(IF(COUNTIF($N$3:N463,"鼠")=0,10^9,LOOKUP(2,1/($N$3:N463="鼠"),ROW($N$3:N463))),IF(COUNTIF($N$3:N463,"牛")=0,10^9,LOOKUP(2,1/($N$3:N463="牛"),ROW($N$3:N463))),IF(COUNTIF($N$3:N463,"虎")=0,10^9,LOOKUP(2,1/($N$3:N463="虎"),ROW($N$3:N463))),IF(COUNTIF($N$3:N463,"兔")=0,10^9,LOOKUP(2,1/($N$3:N463="兔"),ROW($N$3:N463))),IF(COUNTIF($N$3:N463,"龙")=0,10^9,LOOKUP(2,1/($N$3:N463="龙"),ROW($N$3:N463))),IF(COUNTIF($N$3:N463,"蛇")=0,10^9,LOOKUP(2,1/($N$3:N463="蛇"),ROW($N$3:N463))),IF(COUNTIF($N$3:N463,"马")=0,10^9,LOOKUP(2,1/($N$3:N463="马"),ROW($N$3:N463))),IF(COUNTIF($N$3:N463,"羊")=0,10^9,LOOKUP(2,1/($N$3:N463="羊"),ROW($N$3:N463))),IF(COUNTIF($N$3:N463,"猴")=0,10^9,LOOKUP(2,1/($N$3:N463="猴"),ROW($N$3:N463))),IF(COUNTIF($N$3:N463,"鸡")=0,10^9,LOOKUP(2,1/($N$3:N463="鸡"),ROW($N$3:N463))),IF(COUNTIF($N$3:N463,"狗")=0,10^9,LOOKUP(2,1/($N$3:N463="狗"),ROW($N$3:N463))),IF(COUNTIF($N$3:N463,"猪")=0,10^9,LOOKUP(2,1/($N$3:N463="猪"),ROW($N$3:N463))))-ROW($N$3)+1),""))),0,IF(ISNUMBER(J463),J463+1,1)))</f>
        <v/>
      </c>
      <c r="K464" s="5" t="e">
        <f t="shared" si="48"/>
        <v>#N/A</v>
      </c>
      <c r="M464" s="6" t="str">
        <f t="shared" si="44"/>
        <v/>
      </c>
      <c r="N464" s="2" t="e">
        <f t="shared" si="45"/>
        <v>#N/A</v>
      </c>
      <c r="O464" s="7" t="str">
        <f>IF(M464="","",IF(COUNTIF(M465:$M$1000,M464)&gt;0,"",M464))</f>
        <v/>
      </c>
      <c r="P464" s="8" t="e">
        <f>IF(N464="","",IF(COUNTIF(N465:$N$1000,N464)&gt;0,"",N464))</f>
        <v>#N/A</v>
      </c>
      <c r="Q464" s="21" t="e">
        <f t="shared" si="46"/>
        <v>#NUM!</v>
      </c>
      <c r="R464" s="22" t="e">
        <f t="shared" si="47"/>
        <v>#NUM!</v>
      </c>
      <c r="S464" s="11"/>
      <c r="T464" s="11"/>
      <c r="U464" s="11"/>
      <c r="W464" s="11"/>
      <c r="X464" s="2"/>
      <c r="Y464" s="2"/>
    </row>
    <row r="465" s="1" customFormat="1" spans="1:25">
      <c r="A465" s="2">
        <v>115057100</v>
      </c>
      <c r="B465" s="2"/>
      <c r="C465" s="2"/>
      <c r="D465" s="2"/>
      <c r="E465" s="2"/>
      <c r="F465" s="2"/>
      <c r="G465" s="2"/>
      <c r="H465" s="3"/>
      <c r="I465" s="2" t="e">
        <f t="shared" si="43"/>
        <v>#N/A</v>
      </c>
      <c r="J465" s="4" t="str">
        <f>IF(H465="","",IF(OR(AND(M465&lt;&gt;"",M465=IFERROR(INDEX($M$3:M464,MIN(IF(COUNTIF($M$3:M464,"0")=0,10^9,LOOKUP(2,1/($M$3:M464="0"),ROW($M$3:M464))),IF(COUNTIF($M$3:M464,"1")=0,10^9,LOOKUP(2,1/($M$3:M464="1"),ROW($M$3:M464))),IF(COUNTIF($M$3:M464,"2")=0,10^9,LOOKUP(2,1/($M$3:M464="2"),ROW($M$3:M464))),IF(COUNTIF($M$3:M464,"3")=0,10^9,LOOKUP(2,1/($M$3:M464="3"),ROW($M$3:M464))),IF(COUNTIF($M$3:M464,"4")=0,10^9,LOOKUP(2,1/($M$3:M464="4"),ROW($M$3:M464))),IF(COUNTIF($M$3:M464,"5")=0,10^9,LOOKUP(2,1/($M$3:M464="5"),ROW($M$3:M464))),IF(COUNTIF($M$3:M464,"6")=0,10^9,LOOKUP(2,1/($M$3:M464="6"),ROW($M$3:M464))),IF(COUNTIF($M$3:M464,"7")=0,10^9,LOOKUP(2,1/($M$3:M464="7"),ROW($M$3:M464))),IF(COUNTIF($M$3:M464,"8")=0,10^9,LOOKUP(2,1/($M$3:M464="8"),ROW($M$3:M464))),IF(COUNTIF($M$3:M464,"9")=0,10^9,LOOKUP(2,1/($M$3:M464="9"),ROW($M$3:M464))))-ROW($M$3)+1),"")),AND(N465&lt;&gt;"",N465=IFERROR(INDEX($N$3:N464,MIN(IF(COUNTIF($N$3:N464,"鼠")=0,10^9,LOOKUP(2,1/($N$3:N464="鼠"),ROW($N$3:N464))),IF(COUNTIF($N$3:N464,"牛")=0,10^9,LOOKUP(2,1/($N$3:N464="牛"),ROW($N$3:N464))),IF(COUNTIF($N$3:N464,"虎")=0,10^9,LOOKUP(2,1/($N$3:N464="虎"),ROW($N$3:N464))),IF(COUNTIF($N$3:N464,"兔")=0,10^9,LOOKUP(2,1/($N$3:N464="兔"),ROW($N$3:N464))),IF(COUNTIF($N$3:N464,"龙")=0,10^9,LOOKUP(2,1/($N$3:N464="龙"),ROW($N$3:N464))),IF(COUNTIF($N$3:N464,"蛇")=0,10^9,LOOKUP(2,1/($N$3:N464="蛇"),ROW($N$3:N464))),IF(COUNTIF($N$3:N464,"马")=0,10^9,LOOKUP(2,1/($N$3:N464="马"),ROW($N$3:N464))),IF(COUNTIF($N$3:N464,"羊")=0,10^9,LOOKUP(2,1/($N$3:N464="羊"),ROW($N$3:N464))),IF(COUNTIF($N$3:N464,"猴")=0,10^9,LOOKUP(2,1/($N$3:N464="猴"),ROW($N$3:N464))),IF(COUNTIF($N$3:N464,"鸡")=0,10^9,LOOKUP(2,1/($N$3:N464="鸡"),ROW($N$3:N464))),IF(COUNTIF($N$3:N464,"狗")=0,10^9,LOOKUP(2,1/($N$3:N464="狗"),ROW($N$3:N464))),IF(COUNTIF($N$3:N464,"猪")=0,10^9,LOOKUP(2,1/($N$3:N464="猪"),ROW($N$3:N464))))-ROW($N$3)+1),""))),0,IF(ISNUMBER(J464),J464+1,1)))</f>
        <v/>
      </c>
      <c r="K465" s="5" t="e">
        <f t="shared" si="48"/>
        <v>#N/A</v>
      </c>
      <c r="M465" s="6" t="str">
        <f t="shared" si="44"/>
        <v/>
      </c>
      <c r="N465" s="2" t="e">
        <f t="shared" si="45"/>
        <v>#N/A</v>
      </c>
      <c r="O465" s="7" t="str">
        <f>IF(M465="","",IF(COUNTIF(M466:$M$1000,M465)&gt;0,"",M465))</f>
        <v/>
      </c>
      <c r="P465" s="8" t="e">
        <f>IF(N465="","",IF(COUNTIF(N466:$N$1000,N465)&gt;0,"",N465))</f>
        <v>#N/A</v>
      </c>
      <c r="Q465" s="21" t="e">
        <f t="shared" si="46"/>
        <v>#NUM!</v>
      </c>
      <c r="R465" s="22" t="e">
        <f t="shared" si="47"/>
        <v>#NUM!</v>
      </c>
      <c r="S465" s="11"/>
      <c r="T465" s="11"/>
      <c r="U465" s="11"/>
      <c r="W465" s="11"/>
      <c r="X465" s="2"/>
      <c r="Y465" s="2"/>
    </row>
    <row r="466" s="1" customFormat="1" spans="1:25">
      <c r="A466" s="2">
        <v>115057101</v>
      </c>
      <c r="B466" s="2"/>
      <c r="C466" s="2"/>
      <c r="D466" s="2"/>
      <c r="E466" s="2"/>
      <c r="F466" s="2"/>
      <c r="G466" s="2"/>
      <c r="H466" s="3"/>
      <c r="I466" s="2" t="e">
        <f t="shared" si="43"/>
        <v>#N/A</v>
      </c>
      <c r="J466" s="4" t="str">
        <f>IF(H466="","",IF(OR(AND(M466&lt;&gt;"",M466=IFERROR(INDEX($M$3:M465,MIN(IF(COUNTIF($M$3:M465,"0")=0,10^9,LOOKUP(2,1/($M$3:M465="0"),ROW($M$3:M465))),IF(COUNTIF($M$3:M465,"1")=0,10^9,LOOKUP(2,1/($M$3:M465="1"),ROW($M$3:M465))),IF(COUNTIF($M$3:M465,"2")=0,10^9,LOOKUP(2,1/($M$3:M465="2"),ROW($M$3:M465))),IF(COUNTIF($M$3:M465,"3")=0,10^9,LOOKUP(2,1/($M$3:M465="3"),ROW($M$3:M465))),IF(COUNTIF($M$3:M465,"4")=0,10^9,LOOKUP(2,1/($M$3:M465="4"),ROW($M$3:M465))),IF(COUNTIF($M$3:M465,"5")=0,10^9,LOOKUP(2,1/($M$3:M465="5"),ROW($M$3:M465))),IF(COUNTIF($M$3:M465,"6")=0,10^9,LOOKUP(2,1/($M$3:M465="6"),ROW($M$3:M465))),IF(COUNTIF($M$3:M465,"7")=0,10^9,LOOKUP(2,1/($M$3:M465="7"),ROW($M$3:M465))),IF(COUNTIF($M$3:M465,"8")=0,10^9,LOOKUP(2,1/($M$3:M465="8"),ROW($M$3:M465))),IF(COUNTIF($M$3:M465,"9")=0,10^9,LOOKUP(2,1/($M$3:M465="9"),ROW($M$3:M465))))-ROW($M$3)+1),"")),AND(N466&lt;&gt;"",N466=IFERROR(INDEX($N$3:N465,MIN(IF(COUNTIF($N$3:N465,"鼠")=0,10^9,LOOKUP(2,1/($N$3:N465="鼠"),ROW($N$3:N465))),IF(COUNTIF($N$3:N465,"牛")=0,10^9,LOOKUP(2,1/($N$3:N465="牛"),ROW($N$3:N465))),IF(COUNTIF($N$3:N465,"虎")=0,10^9,LOOKUP(2,1/($N$3:N465="虎"),ROW($N$3:N465))),IF(COUNTIF($N$3:N465,"兔")=0,10^9,LOOKUP(2,1/($N$3:N465="兔"),ROW($N$3:N465))),IF(COUNTIF($N$3:N465,"龙")=0,10^9,LOOKUP(2,1/($N$3:N465="龙"),ROW($N$3:N465))),IF(COUNTIF($N$3:N465,"蛇")=0,10^9,LOOKUP(2,1/($N$3:N465="蛇"),ROW($N$3:N465))),IF(COUNTIF($N$3:N465,"马")=0,10^9,LOOKUP(2,1/($N$3:N465="马"),ROW($N$3:N465))),IF(COUNTIF($N$3:N465,"羊")=0,10^9,LOOKUP(2,1/($N$3:N465="羊"),ROW($N$3:N465))),IF(COUNTIF($N$3:N465,"猴")=0,10^9,LOOKUP(2,1/($N$3:N465="猴"),ROW($N$3:N465))),IF(COUNTIF($N$3:N465,"鸡")=0,10^9,LOOKUP(2,1/($N$3:N465="鸡"),ROW($N$3:N465))),IF(COUNTIF($N$3:N465,"狗")=0,10^9,LOOKUP(2,1/($N$3:N465="狗"),ROW($N$3:N465))),IF(COUNTIF($N$3:N465,"猪")=0,10^9,LOOKUP(2,1/($N$3:N465="猪"),ROW($N$3:N465))))-ROW($N$3)+1),""))),0,IF(ISNUMBER(J465),J465+1,1)))</f>
        <v/>
      </c>
      <c r="K466" s="5" t="e">
        <f t="shared" si="48"/>
        <v>#N/A</v>
      </c>
      <c r="M466" s="6" t="str">
        <f t="shared" si="44"/>
        <v/>
      </c>
      <c r="N466" s="2" t="e">
        <f t="shared" si="45"/>
        <v>#N/A</v>
      </c>
      <c r="O466" s="7" t="str">
        <f>IF(M466="","",IF(COUNTIF(M467:$M$1000,M466)&gt;0,"",M466))</f>
        <v/>
      </c>
      <c r="P466" s="8" t="e">
        <f>IF(N466="","",IF(COUNTIF(N467:$N$1000,N466)&gt;0,"",N466))</f>
        <v>#N/A</v>
      </c>
      <c r="Q466" s="21" t="e">
        <f t="shared" si="46"/>
        <v>#NUM!</v>
      </c>
      <c r="R466" s="22" t="e">
        <f t="shared" si="47"/>
        <v>#NUM!</v>
      </c>
      <c r="S466" s="11"/>
      <c r="T466" s="11"/>
      <c r="U466" s="11"/>
      <c r="W466" s="11"/>
      <c r="X466" s="2"/>
      <c r="Y466" s="2"/>
    </row>
    <row r="467" s="1" customFormat="1" spans="1:25">
      <c r="A467" s="2">
        <v>115057102</v>
      </c>
      <c r="B467" s="2"/>
      <c r="C467" s="2"/>
      <c r="D467" s="2"/>
      <c r="E467" s="2"/>
      <c r="F467" s="2"/>
      <c r="G467" s="2"/>
      <c r="H467" s="3"/>
      <c r="I467" s="2" t="e">
        <f t="shared" si="43"/>
        <v>#N/A</v>
      </c>
      <c r="J467" s="4" t="str">
        <f>IF(H467="","",IF(OR(AND(M467&lt;&gt;"",M467=IFERROR(INDEX($M$3:M466,MIN(IF(COUNTIF($M$3:M466,"0")=0,10^9,LOOKUP(2,1/($M$3:M466="0"),ROW($M$3:M466))),IF(COUNTIF($M$3:M466,"1")=0,10^9,LOOKUP(2,1/($M$3:M466="1"),ROW($M$3:M466))),IF(COUNTIF($M$3:M466,"2")=0,10^9,LOOKUP(2,1/($M$3:M466="2"),ROW($M$3:M466))),IF(COUNTIF($M$3:M466,"3")=0,10^9,LOOKUP(2,1/($M$3:M466="3"),ROW($M$3:M466))),IF(COUNTIF($M$3:M466,"4")=0,10^9,LOOKUP(2,1/($M$3:M466="4"),ROW($M$3:M466))),IF(COUNTIF($M$3:M466,"5")=0,10^9,LOOKUP(2,1/($M$3:M466="5"),ROW($M$3:M466))),IF(COUNTIF($M$3:M466,"6")=0,10^9,LOOKUP(2,1/($M$3:M466="6"),ROW($M$3:M466))),IF(COUNTIF($M$3:M466,"7")=0,10^9,LOOKUP(2,1/($M$3:M466="7"),ROW($M$3:M466))),IF(COUNTIF($M$3:M466,"8")=0,10^9,LOOKUP(2,1/($M$3:M466="8"),ROW($M$3:M466))),IF(COUNTIF($M$3:M466,"9")=0,10^9,LOOKUP(2,1/($M$3:M466="9"),ROW($M$3:M466))))-ROW($M$3)+1),"")),AND(N467&lt;&gt;"",N467=IFERROR(INDEX($N$3:N466,MIN(IF(COUNTIF($N$3:N466,"鼠")=0,10^9,LOOKUP(2,1/($N$3:N466="鼠"),ROW($N$3:N466))),IF(COUNTIF($N$3:N466,"牛")=0,10^9,LOOKUP(2,1/($N$3:N466="牛"),ROW($N$3:N466))),IF(COUNTIF($N$3:N466,"虎")=0,10^9,LOOKUP(2,1/($N$3:N466="虎"),ROW($N$3:N466))),IF(COUNTIF($N$3:N466,"兔")=0,10^9,LOOKUP(2,1/($N$3:N466="兔"),ROW($N$3:N466))),IF(COUNTIF($N$3:N466,"龙")=0,10^9,LOOKUP(2,1/($N$3:N466="龙"),ROW($N$3:N466))),IF(COUNTIF($N$3:N466,"蛇")=0,10^9,LOOKUP(2,1/($N$3:N466="蛇"),ROW($N$3:N466))),IF(COUNTIF($N$3:N466,"马")=0,10^9,LOOKUP(2,1/($N$3:N466="马"),ROW($N$3:N466))),IF(COUNTIF($N$3:N466,"羊")=0,10^9,LOOKUP(2,1/($N$3:N466="羊"),ROW($N$3:N466))),IF(COUNTIF($N$3:N466,"猴")=0,10^9,LOOKUP(2,1/($N$3:N466="猴"),ROW($N$3:N466))),IF(COUNTIF($N$3:N466,"鸡")=0,10^9,LOOKUP(2,1/($N$3:N466="鸡"),ROW($N$3:N466))),IF(COUNTIF($N$3:N466,"狗")=0,10^9,LOOKUP(2,1/($N$3:N466="狗"),ROW($N$3:N466))),IF(COUNTIF($N$3:N466,"猪")=0,10^9,LOOKUP(2,1/($N$3:N466="猪"),ROW($N$3:N466))))-ROW($N$3)+1),""))),0,IF(ISNUMBER(J466),J466+1,1)))</f>
        <v/>
      </c>
      <c r="K467" s="5" t="e">
        <f t="shared" si="48"/>
        <v>#N/A</v>
      </c>
      <c r="M467" s="6" t="str">
        <f t="shared" si="44"/>
        <v/>
      </c>
      <c r="N467" s="2" t="e">
        <f t="shared" si="45"/>
        <v>#N/A</v>
      </c>
      <c r="O467" s="7" t="str">
        <f>IF(M467="","",IF(COUNTIF(M468:$M$1000,M467)&gt;0,"",M467))</f>
        <v/>
      </c>
      <c r="P467" s="8" t="e">
        <f>IF(N467="","",IF(COUNTIF(N468:$N$1000,N467)&gt;0,"",N467))</f>
        <v>#N/A</v>
      </c>
      <c r="Q467" s="21" t="e">
        <f t="shared" si="46"/>
        <v>#NUM!</v>
      </c>
      <c r="R467" s="22" t="e">
        <f t="shared" si="47"/>
        <v>#NUM!</v>
      </c>
      <c r="S467" s="11"/>
      <c r="T467" s="11"/>
      <c r="U467" s="11"/>
      <c r="W467" s="11"/>
      <c r="X467" s="2"/>
      <c r="Y467" s="2"/>
    </row>
    <row r="468" s="1" customFormat="1" spans="1:25">
      <c r="A468" s="2">
        <v>115057103</v>
      </c>
      <c r="B468" s="2"/>
      <c r="C468" s="2"/>
      <c r="D468" s="2"/>
      <c r="E468" s="2"/>
      <c r="F468" s="2"/>
      <c r="G468" s="2"/>
      <c r="H468" s="3"/>
      <c r="I468" s="2" t="e">
        <f t="shared" si="43"/>
        <v>#N/A</v>
      </c>
      <c r="J468" s="4" t="str">
        <f>IF(H468="","",IF(OR(AND(M468&lt;&gt;"",M468=IFERROR(INDEX($M$3:M467,MIN(IF(COUNTIF($M$3:M467,"0")=0,10^9,LOOKUP(2,1/($M$3:M467="0"),ROW($M$3:M467))),IF(COUNTIF($M$3:M467,"1")=0,10^9,LOOKUP(2,1/($M$3:M467="1"),ROW($M$3:M467))),IF(COUNTIF($M$3:M467,"2")=0,10^9,LOOKUP(2,1/($M$3:M467="2"),ROW($M$3:M467))),IF(COUNTIF($M$3:M467,"3")=0,10^9,LOOKUP(2,1/($M$3:M467="3"),ROW($M$3:M467))),IF(COUNTIF($M$3:M467,"4")=0,10^9,LOOKUP(2,1/($M$3:M467="4"),ROW($M$3:M467))),IF(COUNTIF($M$3:M467,"5")=0,10^9,LOOKUP(2,1/($M$3:M467="5"),ROW($M$3:M467))),IF(COUNTIF($M$3:M467,"6")=0,10^9,LOOKUP(2,1/($M$3:M467="6"),ROW($M$3:M467))),IF(COUNTIF($M$3:M467,"7")=0,10^9,LOOKUP(2,1/($M$3:M467="7"),ROW($M$3:M467))),IF(COUNTIF($M$3:M467,"8")=0,10^9,LOOKUP(2,1/($M$3:M467="8"),ROW($M$3:M467))),IF(COUNTIF($M$3:M467,"9")=0,10^9,LOOKUP(2,1/($M$3:M467="9"),ROW($M$3:M467))))-ROW($M$3)+1),"")),AND(N468&lt;&gt;"",N468=IFERROR(INDEX($N$3:N467,MIN(IF(COUNTIF($N$3:N467,"鼠")=0,10^9,LOOKUP(2,1/($N$3:N467="鼠"),ROW($N$3:N467))),IF(COUNTIF($N$3:N467,"牛")=0,10^9,LOOKUP(2,1/($N$3:N467="牛"),ROW($N$3:N467))),IF(COUNTIF($N$3:N467,"虎")=0,10^9,LOOKUP(2,1/($N$3:N467="虎"),ROW($N$3:N467))),IF(COUNTIF($N$3:N467,"兔")=0,10^9,LOOKUP(2,1/($N$3:N467="兔"),ROW($N$3:N467))),IF(COUNTIF($N$3:N467,"龙")=0,10^9,LOOKUP(2,1/($N$3:N467="龙"),ROW($N$3:N467))),IF(COUNTIF($N$3:N467,"蛇")=0,10^9,LOOKUP(2,1/($N$3:N467="蛇"),ROW($N$3:N467))),IF(COUNTIF($N$3:N467,"马")=0,10^9,LOOKUP(2,1/($N$3:N467="马"),ROW($N$3:N467))),IF(COUNTIF($N$3:N467,"羊")=0,10^9,LOOKUP(2,1/($N$3:N467="羊"),ROW($N$3:N467))),IF(COUNTIF($N$3:N467,"猴")=0,10^9,LOOKUP(2,1/($N$3:N467="猴"),ROW($N$3:N467))),IF(COUNTIF($N$3:N467,"鸡")=0,10^9,LOOKUP(2,1/($N$3:N467="鸡"),ROW($N$3:N467))),IF(COUNTIF($N$3:N467,"狗")=0,10^9,LOOKUP(2,1/($N$3:N467="狗"),ROW($N$3:N467))),IF(COUNTIF($N$3:N467,"猪")=0,10^9,LOOKUP(2,1/($N$3:N467="猪"),ROW($N$3:N467))))-ROW($N$3)+1),""))),0,IF(ISNUMBER(J467),J467+1,1)))</f>
        <v/>
      </c>
      <c r="K468" s="5" t="e">
        <f t="shared" si="48"/>
        <v>#N/A</v>
      </c>
      <c r="M468" s="6" t="str">
        <f t="shared" si="44"/>
        <v/>
      </c>
      <c r="N468" s="2" t="e">
        <f t="shared" si="45"/>
        <v>#N/A</v>
      </c>
      <c r="O468" s="7" t="str">
        <f>IF(M468="","",IF(COUNTIF(M469:$M$1000,M468)&gt;0,"",M468))</f>
        <v/>
      </c>
      <c r="P468" s="8" t="e">
        <f>IF(N468="","",IF(COUNTIF(N469:$N$1000,N468)&gt;0,"",N468))</f>
        <v>#N/A</v>
      </c>
      <c r="Q468" s="21" t="e">
        <f t="shared" si="46"/>
        <v>#NUM!</v>
      </c>
      <c r="R468" s="22" t="e">
        <f t="shared" si="47"/>
        <v>#NUM!</v>
      </c>
      <c r="S468" s="11"/>
      <c r="T468" s="11"/>
      <c r="U468" s="11"/>
      <c r="W468" s="11"/>
      <c r="X468" s="2"/>
      <c r="Y468" s="2"/>
    </row>
    <row r="469" s="1" customFormat="1" spans="1:25">
      <c r="A469" s="2">
        <v>115057104</v>
      </c>
      <c r="B469" s="2"/>
      <c r="C469" s="2"/>
      <c r="D469" s="2"/>
      <c r="E469" s="2"/>
      <c r="F469" s="2"/>
      <c r="G469" s="2"/>
      <c r="H469" s="3"/>
      <c r="I469" s="2" t="e">
        <f t="shared" si="43"/>
        <v>#N/A</v>
      </c>
      <c r="J469" s="4" t="str">
        <f>IF(H469="","",IF(OR(AND(M469&lt;&gt;"",M469=IFERROR(INDEX($M$3:M468,MIN(IF(COUNTIF($M$3:M468,"0")=0,10^9,LOOKUP(2,1/($M$3:M468="0"),ROW($M$3:M468))),IF(COUNTIF($M$3:M468,"1")=0,10^9,LOOKUP(2,1/($M$3:M468="1"),ROW($M$3:M468))),IF(COUNTIF($M$3:M468,"2")=0,10^9,LOOKUP(2,1/($M$3:M468="2"),ROW($M$3:M468))),IF(COUNTIF($M$3:M468,"3")=0,10^9,LOOKUP(2,1/($M$3:M468="3"),ROW($M$3:M468))),IF(COUNTIF($M$3:M468,"4")=0,10^9,LOOKUP(2,1/($M$3:M468="4"),ROW($M$3:M468))),IF(COUNTIF($M$3:M468,"5")=0,10^9,LOOKUP(2,1/($M$3:M468="5"),ROW($M$3:M468))),IF(COUNTIF($M$3:M468,"6")=0,10^9,LOOKUP(2,1/($M$3:M468="6"),ROW($M$3:M468))),IF(COUNTIF($M$3:M468,"7")=0,10^9,LOOKUP(2,1/($M$3:M468="7"),ROW($M$3:M468))),IF(COUNTIF($M$3:M468,"8")=0,10^9,LOOKUP(2,1/($M$3:M468="8"),ROW($M$3:M468))),IF(COUNTIF($M$3:M468,"9")=0,10^9,LOOKUP(2,1/($M$3:M468="9"),ROW($M$3:M468))))-ROW($M$3)+1),"")),AND(N469&lt;&gt;"",N469=IFERROR(INDEX($N$3:N468,MIN(IF(COUNTIF($N$3:N468,"鼠")=0,10^9,LOOKUP(2,1/($N$3:N468="鼠"),ROW($N$3:N468))),IF(COUNTIF($N$3:N468,"牛")=0,10^9,LOOKUP(2,1/($N$3:N468="牛"),ROW($N$3:N468))),IF(COUNTIF($N$3:N468,"虎")=0,10^9,LOOKUP(2,1/($N$3:N468="虎"),ROW($N$3:N468))),IF(COUNTIF($N$3:N468,"兔")=0,10^9,LOOKUP(2,1/($N$3:N468="兔"),ROW($N$3:N468))),IF(COUNTIF($N$3:N468,"龙")=0,10^9,LOOKUP(2,1/($N$3:N468="龙"),ROW($N$3:N468))),IF(COUNTIF($N$3:N468,"蛇")=0,10^9,LOOKUP(2,1/($N$3:N468="蛇"),ROW($N$3:N468))),IF(COUNTIF($N$3:N468,"马")=0,10^9,LOOKUP(2,1/($N$3:N468="马"),ROW($N$3:N468))),IF(COUNTIF($N$3:N468,"羊")=0,10^9,LOOKUP(2,1/($N$3:N468="羊"),ROW($N$3:N468))),IF(COUNTIF($N$3:N468,"猴")=0,10^9,LOOKUP(2,1/($N$3:N468="猴"),ROW($N$3:N468))),IF(COUNTIF($N$3:N468,"鸡")=0,10^9,LOOKUP(2,1/($N$3:N468="鸡"),ROW($N$3:N468))),IF(COUNTIF($N$3:N468,"狗")=0,10^9,LOOKUP(2,1/($N$3:N468="狗"),ROW($N$3:N468))),IF(COUNTIF($N$3:N468,"猪")=0,10^9,LOOKUP(2,1/($N$3:N468="猪"),ROW($N$3:N468))))-ROW($N$3)+1),""))),0,IF(ISNUMBER(J468),J468+1,1)))</f>
        <v/>
      </c>
      <c r="K469" s="5" t="e">
        <f t="shared" si="48"/>
        <v>#N/A</v>
      </c>
      <c r="M469" s="6" t="str">
        <f t="shared" si="44"/>
        <v/>
      </c>
      <c r="N469" s="2" t="e">
        <f t="shared" si="45"/>
        <v>#N/A</v>
      </c>
      <c r="O469" s="7" t="str">
        <f>IF(M469="","",IF(COUNTIF(M470:$M$1000,M469)&gt;0,"",M469))</f>
        <v/>
      </c>
      <c r="P469" s="8" t="e">
        <f>IF(N469="","",IF(COUNTIF(N470:$N$1000,N469)&gt;0,"",N469))</f>
        <v>#N/A</v>
      </c>
      <c r="Q469" s="21" t="e">
        <f t="shared" si="46"/>
        <v>#NUM!</v>
      </c>
      <c r="R469" s="22" t="e">
        <f t="shared" si="47"/>
        <v>#NUM!</v>
      </c>
      <c r="S469" s="11"/>
      <c r="T469" s="11"/>
      <c r="U469" s="11"/>
      <c r="W469" s="11"/>
      <c r="X469" s="2"/>
      <c r="Y469" s="2"/>
    </row>
    <row r="470" s="1" customFormat="1" spans="1:25">
      <c r="A470" s="2">
        <v>115057105</v>
      </c>
      <c r="B470" s="2"/>
      <c r="C470" s="2"/>
      <c r="D470" s="2"/>
      <c r="E470" s="2"/>
      <c r="F470" s="2"/>
      <c r="G470" s="2"/>
      <c r="H470" s="3"/>
      <c r="I470" s="2" t="e">
        <f t="shared" si="43"/>
        <v>#N/A</v>
      </c>
      <c r="J470" s="4" t="str">
        <f>IF(H470="","",IF(OR(AND(M470&lt;&gt;"",M470=IFERROR(INDEX($M$3:M469,MIN(IF(COUNTIF($M$3:M469,"0")=0,10^9,LOOKUP(2,1/($M$3:M469="0"),ROW($M$3:M469))),IF(COUNTIF($M$3:M469,"1")=0,10^9,LOOKUP(2,1/($M$3:M469="1"),ROW($M$3:M469))),IF(COUNTIF($M$3:M469,"2")=0,10^9,LOOKUP(2,1/($M$3:M469="2"),ROW($M$3:M469))),IF(COUNTIF($M$3:M469,"3")=0,10^9,LOOKUP(2,1/($M$3:M469="3"),ROW($M$3:M469))),IF(COUNTIF($M$3:M469,"4")=0,10^9,LOOKUP(2,1/($M$3:M469="4"),ROW($M$3:M469))),IF(COUNTIF($M$3:M469,"5")=0,10^9,LOOKUP(2,1/($M$3:M469="5"),ROW($M$3:M469))),IF(COUNTIF($M$3:M469,"6")=0,10^9,LOOKUP(2,1/($M$3:M469="6"),ROW($M$3:M469))),IF(COUNTIF($M$3:M469,"7")=0,10^9,LOOKUP(2,1/($M$3:M469="7"),ROW($M$3:M469))),IF(COUNTIF($M$3:M469,"8")=0,10^9,LOOKUP(2,1/($M$3:M469="8"),ROW($M$3:M469))),IF(COUNTIF($M$3:M469,"9")=0,10^9,LOOKUP(2,1/($M$3:M469="9"),ROW($M$3:M469))))-ROW($M$3)+1),"")),AND(N470&lt;&gt;"",N470=IFERROR(INDEX($N$3:N469,MIN(IF(COUNTIF($N$3:N469,"鼠")=0,10^9,LOOKUP(2,1/($N$3:N469="鼠"),ROW($N$3:N469))),IF(COUNTIF($N$3:N469,"牛")=0,10^9,LOOKUP(2,1/($N$3:N469="牛"),ROW($N$3:N469))),IF(COUNTIF($N$3:N469,"虎")=0,10^9,LOOKUP(2,1/($N$3:N469="虎"),ROW($N$3:N469))),IF(COUNTIF($N$3:N469,"兔")=0,10^9,LOOKUP(2,1/($N$3:N469="兔"),ROW($N$3:N469))),IF(COUNTIF($N$3:N469,"龙")=0,10^9,LOOKUP(2,1/($N$3:N469="龙"),ROW($N$3:N469))),IF(COUNTIF($N$3:N469,"蛇")=0,10^9,LOOKUP(2,1/($N$3:N469="蛇"),ROW($N$3:N469))),IF(COUNTIF($N$3:N469,"马")=0,10^9,LOOKUP(2,1/($N$3:N469="马"),ROW($N$3:N469))),IF(COUNTIF($N$3:N469,"羊")=0,10^9,LOOKUP(2,1/($N$3:N469="羊"),ROW($N$3:N469))),IF(COUNTIF($N$3:N469,"猴")=0,10^9,LOOKUP(2,1/($N$3:N469="猴"),ROW($N$3:N469))),IF(COUNTIF($N$3:N469,"鸡")=0,10^9,LOOKUP(2,1/($N$3:N469="鸡"),ROW($N$3:N469))),IF(COUNTIF($N$3:N469,"狗")=0,10^9,LOOKUP(2,1/($N$3:N469="狗"),ROW($N$3:N469))),IF(COUNTIF($N$3:N469,"猪")=0,10^9,LOOKUP(2,1/($N$3:N469="猪"),ROW($N$3:N469))))-ROW($N$3)+1),""))),0,IF(ISNUMBER(J469),J469+1,1)))</f>
        <v/>
      </c>
      <c r="K470" s="5" t="e">
        <f t="shared" si="48"/>
        <v>#N/A</v>
      </c>
      <c r="M470" s="6" t="str">
        <f t="shared" si="44"/>
        <v/>
      </c>
      <c r="N470" s="2" t="e">
        <f t="shared" si="45"/>
        <v>#N/A</v>
      </c>
      <c r="O470" s="7" t="str">
        <f>IF(M470="","",IF(COUNTIF(M471:$M$1000,M470)&gt;0,"",M470))</f>
        <v/>
      </c>
      <c r="P470" s="8" t="e">
        <f>IF(N470="","",IF(COUNTIF(N471:$N$1000,N470)&gt;0,"",N470))</f>
        <v>#N/A</v>
      </c>
      <c r="Q470" s="21" t="e">
        <f t="shared" si="46"/>
        <v>#NUM!</v>
      </c>
      <c r="R470" s="22" t="e">
        <f t="shared" si="47"/>
        <v>#NUM!</v>
      </c>
      <c r="S470" s="11"/>
      <c r="T470" s="11"/>
      <c r="U470" s="11"/>
      <c r="W470" s="11"/>
      <c r="X470" s="2"/>
      <c r="Y470" s="2"/>
    </row>
    <row r="471" s="1" customFormat="1" spans="1:25">
      <c r="A471" s="2">
        <v>115057106</v>
      </c>
      <c r="B471" s="2"/>
      <c r="C471" s="2"/>
      <c r="D471" s="2"/>
      <c r="E471" s="2"/>
      <c r="F471" s="2"/>
      <c r="G471" s="2"/>
      <c r="H471" s="3"/>
      <c r="I471" s="2" t="e">
        <f t="shared" si="43"/>
        <v>#N/A</v>
      </c>
      <c r="J471" s="4" t="str">
        <f>IF(H471="","",IF(OR(AND(M471&lt;&gt;"",M471=IFERROR(INDEX($M$3:M470,MIN(IF(COUNTIF($M$3:M470,"0")=0,10^9,LOOKUP(2,1/($M$3:M470="0"),ROW($M$3:M470))),IF(COUNTIF($M$3:M470,"1")=0,10^9,LOOKUP(2,1/($M$3:M470="1"),ROW($M$3:M470))),IF(COUNTIF($M$3:M470,"2")=0,10^9,LOOKUP(2,1/($M$3:M470="2"),ROW($M$3:M470))),IF(COUNTIF($M$3:M470,"3")=0,10^9,LOOKUP(2,1/($M$3:M470="3"),ROW($M$3:M470))),IF(COUNTIF($M$3:M470,"4")=0,10^9,LOOKUP(2,1/($M$3:M470="4"),ROW($M$3:M470))),IF(COUNTIF($M$3:M470,"5")=0,10^9,LOOKUP(2,1/($M$3:M470="5"),ROW($M$3:M470))),IF(COUNTIF($M$3:M470,"6")=0,10^9,LOOKUP(2,1/($M$3:M470="6"),ROW($M$3:M470))),IF(COUNTIF($M$3:M470,"7")=0,10^9,LOOKUP(2,1/($M$3:M470="7"),ROW($M$3:M470))),IF(COUNTIF($M$3:M470,"8")=0,10^9,LOOKUP(2,1/($M$3:M470="8"),ROW($M$3:M470))),IF(COUNTIF($M$3:M470,"9")=0,10^9,LOOKUP(2,1/($M$3:M470="9"),ROW($M$3:M470))))-ROW($M$3)+1),"")),AND(N471&lt;&gt;"",N471=IFERROR(INDEX($N$3:N470,MIN(IF(COUNTIF($N$3:N470,"鼠")=0,10^9,LOOKUP(2,1/($N$3:N470="鼠"),ROW($N$3:N470))),IF(COUNTIF($N$3:N470,"牛")=0,10^9,LOOKUP(2,1/($N$3:N470="牛"),ROW($N$3:N470))),IF(COUNTIF($N$3:N470,"虎")=0,10^9,LOOKUP(2,1/($N$3:N470="虎"),ROW($N$3:N470))),IF(COUNTIF($N$3:N470,"兔")=0,10^9,LOOKUP(2,1/($N$3:N470="兔"),ROW($N$3:N470))),IF(COUNTIF($N$3:N470,"龙")=0,10^9,LOOKUP(2,1/($N$3:N470="龙"),ROW($N$3:N470))),IF(COUNTIF($N$3:N470,"蛇")=0,10^9,LOOKUP(2,1/($N$3:N470="蛇"),ROW($N$3:N470))),IF(COUNTIF($N$3:N470,"马")=0,10^9,LOOKUP(2,1/($N$3:N470="马"),ROW($N$3:N470))),IF(COUNTIF($N$3:N470,"羊")=0,10^9,LOOKUP(2,1/($N$3:N470="羊"),ROW($N$3:N470))),IF(COUNTIF($N$3:N470,"猴")=0,10^9,LOOKUP(2,1/($N$3:N470="猴"),ROW($N$3:N470))),IF(COUNTIF($N$3:N470,"鸡")=0,10^9,LOOKUP(2,1/($N$3:N470="鸡"),ROW($N$3:N470))),IF(COUNTIF($N$3:N470,"狗")=0,10^9,LOOKUP(2,1/($N$3:N470="狗"),ROW($N$3:N470))),IF(COUNTIF($N$3:N470,"猪")=0,10^9,LOOKUP(2,1/($N$3:N470="猪"),ROW($N$3:N470))))-ROW($N$3)+1),""))),0,IF(ISNUMBER(J470),J470+1,1)))</f>
        <v/>
      </c>
      <c r="K471" s="5" t="e">
        <f t="shared" si="48"/>
        <v>#N/A</v>
      </c>
      <c r="M471" s="6" t="str">
        <f t="shared" si="44"/>
        <v/>
      </c>
      <c r="N471" s="2" t="e">
        <f t="shared" si="45"/>
        <v>#N/A</v>
      </c>
      <c r="O471" s="7" t="str">
        <f>IF(M471="","",IF(COUNTIF(M472:$M$1000,M471)&gt;0,"",M471))</f>
        <v/>
      </c>
      <c r="P471" s="8" t="e">
        <f>IF(N471="","",IF(COUNTIF(N472:$N$1000,N471)&gt;0,"",N471))</f>
        <v>#N/A</v>
      </c>
      <c r="Q471" s="21" t="e">
        <f t="shared" si="46"/>
        <v>#NUM!</v>
      </c>
      <c r="R471" s="22" t="e">
        <f t="shared" si="47"/>
        <v>#NUM!</v>
      </c>
      <c r="S471" s="11"/>
      <c r="T471" s="11"/>
      <c r="U471" s="11"/>
      <c r="W471" s="11"/>
      <c r="X471" s="2"/>
      <c r="Y471" s="2"/>
    </row>
    <row r="472" s="1" customFormat="1" spans="1:25">
      <c r="A472" s="2">
        <v>115057107</v>
      </c>
      <c r="B472" s="2"/>
      <c r="C472" s="2"/>
      <c r="D472" s="2"/>
      <c r="E472" s="2"/>
      <c r="F472" s="2"/>
      <c r="G472" s="2"/>
      <c r="H472" s="3"/>
      <c r="I472" s="2" t="e">
        <f t="shared" si="43"/>
        <v>#N/A</v>
      </c>
      <c r="J472" s="4" t="str">
        <f>IF(H472="","",IF(OR(AND(M472&lt;&gt;"",M472=IFERROR(INDEX($M$3:M471,MIN(IF(COUNTIF($M$3:M471,"0")=0,10^9,LOOKUP(2,1/($M$3:M471="0"),ROW($M$3:M471))),IF(COUNTIF($M$3:M471,"1")=0,10^9,LOOKUP(2,1/($M$3:M471="1"),ROW($M$3:M471))),IF(COUNTIF($M$3:M471,"2")=0,10^9,LOOKUP(2,1/($M$3:M471="2"),ROW($M$3:M471))),IF(COUNTIF($M$3:M471,"3")=0,10^9,LOOKUP(2,1/($M$3:M471="3"),ROW($M$3:M471))),IF(COUNTIF($M$3:M471,"4")=0,10^9,LOOKUP(2,1/($M$3:M471="4"),ROW($M$3:M471))),IF(COUNTIF($M$3:M471,"5")=0,10^9,LOOKUP(2,1/($M$3:M471="5"),ROW($M$3:M471))),IF(COUNTIF($M$3:M471,"6")=0,10^9,LOOKUP(2,1/($M$3:M471="6"),ROW($M$3:M471))),IF(COUNTIF($M$3:M471,"7")=0,10^9,LOOKUP(2,1/($M$3:M471="7"),ROW($M$3:M471))),IF(COUNTIF($M$3:M471,"8")=0,10^9,LOOKUP(2,1/($M$3:M471="8"),ROW($M$3:M471))),IF(COUNTIF($M$3:M471,"9")=0,10^9,LOOKUP(2,1/($M$3:M471="9"),ROW($M$3:M471))))-ROW($M$3)+1),"")),AND(N472&lt;&gt;"",N472=IFERROR(INDEX($N$3:N471,MIN(IF(COUNTIF($N$3:N471,"鼠")=0,10^9,LOOKUP(2,1/($N$3:N471="鼠"),ROW($N$3:N471))),IF(COUNTIF($N$3:N471,"牛")=0,10^9,LOOKUP(2,1/($N$3:N471="牛"),ROW($N$3:N471))),IF(COUNTIF($N$3:N471,"虎")=0,10^9,LOOKUP(2,1/($N$3:N471="虎"),ROW($N$3:N471))),IF(COUNTIF($N$3:N471,"兔")=0,10^9,LOOKUP(2,1/($N$3:N471="兔"),ROW($N$3:N471))),IF(COUNTIF($N$3:N471,"龙")=0,10^9,LOOKUP(2,1/($N$3:N471="龙"),ROW($N$3:N471))),IF(COUNTIF($N$3:N471,"蛇")=0,10^9,LOOKUP(2,1/($N$3:N471="蛇"),ROW($N$3:N471))),IF(COUNTIF($N$3:N471,"马")=0,10^9,LOOKUP(2,1/($N$3:N471="马"),ROW($N$3:N471))),IF(COUNTIF($N$3:N471,"羊")=0,10^9,LOOKUP(2,1/($N$3:N471="羊"),ROW($N$3:N471))),IF(COUNTIF($N$3:N471,"猴")=0,10^9,LOOKUP(2,1/($N$3:N471="猴"),ROW($N$3:N471))),IF(COUNTIF($N$3:N471,"鸡")=0,10^9,LOOKUP(2,1/($N$3:N471="鸡"),ROW($N$3:N471))),IF(COUNTIF($N$3:N471,"狗")=0,10^9,LOOKUP(2,1/($N$3:N471="狗"),ROW($N$3:N471))),IF(COUNTIF($N$3:N471,"猪")=0,10^9,LOOKUP(2,1/($N$3:N471="猪"),ROW($N$3:N471))))-ROW($N$3)+1),""))),0,IF(ISNUMBER(J471),J471+1,1)))</f>
        <v/>
      </c>
      <c r="K472" s="5" t="e">
        <f t="shared" si="48"/>
        <v>#N/A</v>
      </c>
      <c r="M472" s="6" t="str">
        <f t="shared" si="44"/>
        <v/>
      </c>
      <c r="N472" s="2" t="e">
        <f t="shared" si="45"/>
        <v>#N/A</v>
      </c>
      <c r="O472" s="7" t="str">
        <f>IF(M472="","",IF(COUNTIF(M473:$M$1000,M472)&gt;0,"",M472))</f>
        <v/>
      </c>
      <c r="P472" s="8" t="e">
        <f>IF(N472="","",IF(COUNTIF(N473:$N$1000,N472)&gt;0,"",N472))</f>
        <v>#N/A</v>
      </c>
      <c r="Q472" s="21" t="e">
        <f t="shared" si="46"/>
        <v>#NUM!</v>
      </c>
      <c r="R472" s="22" t="e">
        <f t="shared" si="47"/>
        <v>#NUM!</v>
      </c>
      <c r="S472" s="11"/>
      <c r="T472" s="11"/>
      <c r="U472" s="11"/>
      <c r="W472" s="11"/>
      <c r="X472" s="2"/>
      <c r="Y472" s="2"/>
    </row>
    <row r="473" s="1" customFormat="1" spans="1:25">
      <c r="A473" s="2">
        <v>115057108</v>
      </c>
      <c r="B473" s="2"/>
      <c r="C473" s="2"/>
      <c r="D473" s="2"/>
      <c r="E473" s="2"/>
      <c r="F473" s="2"/>
      <c r="G473" s="2"/>
      <c r="H473" s="3"/>
      <c r="I473" s="2" t="e">
        <f t="shared" si="43"/>
        <v>#N/A</v>
      </c>
      <c r="J473" s="4" t="str">
        <f>IF(H473="","",IF(OR(AND(M473&lt;&gt;"",M473=IFERROR(INDEX($M$3:M472,MIN(IF(COUNTIF($M$3:M472,"0")=0,10^9,LOOKUP(2,1/($M$3:M472="0"),ROW($M$3:M472))),IF(COUNTIF($M$3:M472,"1")=0,10^9,LOOKUP(2,1/($M$3:M472="1"),ROW($M$3:M472))),IF(COUNTIF($M$3:M472,"2")=0,10^9,LOOKUP(2,1/($M$3:M472="2"),ROW($M$3:M472))),IF(COUNTIF($M$3:M472,"3")=0,10^9,LOOKUP(2,1/($M$3:M472="3"),ROW($M$3:M472))),IF(COUNTIF($M$3:M472,"4")=0,10^9,LOOKUP(2,1/($M$3:M472="4"),ROW($M$3:M472))),IF(COUNTIF($M$3:M472,"5")=0,10^9,LOOKUP(2,1/($M$3:M472="5"),ROW($M$3:M472))),IF(COUNTIF($M$3:M472,"6")=0,10^9,LOOKUP(2,1/($M$3:M472="6"),ROW($M$3:M472))),IF(COUNTIF($M$3:M472,"7")=0,10^9,LOOKUP(2,1/($M$3:M472="7"),ROW($M$3:M472))),IF(COUNTIF($M$3:M472,"8")=0,10^9,LOOKUP(2,1/($M$3:M472="8"),ROW($M$3:M472))),IF(COUNTIF($M$3:M472,"9")=0,10^9,LOOKUP(2,1/($M$3:M472="9"),ROW($M$3:M472))))-ROW($M$3)+1),"")),AND(N473&lt;&gt;"",N473=IFERROR(INDEX($N$3:N472,MIN(IF(COUNTIF($N$3:N472,"鼠")=0,10^9,LOOKUP(2,1/($N$3:N472="鼠"),ROW($N$3:N472))),IF(COUNTIF($N$3:N472,"牛")=0,10^9,LOOKUP(2,1/($N$3:N472="牛"),ROW($N$3:N472))),IF(COUNTIF($N$3:N472,"虎")=0,10^9,LOOKUP(2,1/($N$3:N472="虎"),ROW($N$3:N472))),IF(COUNTIF($N$3:N472,"兔")=0,10^9,LOOKUP(2,1/($N$3:N472="兔"),ROW($N$3:N472))),IF(COUNTIF($N$3:N472,"龙")=0,10^9,LOOKUP(2,1/($N$3:N472="龙"),ROW($N$3:N472))),IF(COUNTIF($N$3:N472,"蛇")=0,10^9,LOOKUP(2,1/($N$3:N472="蛇"),ROW($N$3:N472))),IF(COUNTIF($N$3:N472,"马")=0,10^9,LOOKUP(2,1/($N$3:N472="马"),ROW($N$3:N472))),IF(COUNTIF($N$3:N472,"羊")=0,10^9,LOOKUP(2,1/($N$3:N472="羊"),ROW($N$3:N472))),IF(COUNTIF($N$3:N472,"猴")=0,10^9,LOOKUP(2,1/($N$3:N472="猴"),ROW($N$3:N472))),IF(COUNTIF($N$3:N472,"鸡")=0,10^9,LOOKUP(2,1/($N$3:N472="鸡"),ROW($N$3:N472))),IF(COUNTIF($N$3:N472,"狗")=0,10^9,LOOKUP(2,1/($N$3:N472="狗"),ROW($N$3:N472))),IF(COUNTIF($N$3:N472,"猪")=0,10^9,LOOKUP(2,1/($N$3:N472="猪"),ROW($N$3:N472))))-ROW($N$3)+1),""))),0,IF(ISNUMBER(J472),J472+1,1)))</f>
        <v/>
      </c>
      <c r="K473" s="5" t="e">
        <f t="shared" si="48"/>
        <v>#N/A</v>
      </c>
      <c r="M473" s="6" t="str">
        <f t="shared" si="44"/>
        <v/>
      </c>
      <c r="N473" s="2" t="e">
        <f t="shared" si="45"/>
        <v>#N/A</v>
      </c>
      <c r="O473" s="7" t="str">
        <f>IF(M473="","",IF(COUNTIF(M474:$M$1000,M473)&gt;0,"",M473))</f>
        <v/>
      </c>
      <c r="P473" s="8" t="e">
        <f>IF(N473="","",IF(COUNTIF(N474:$N$1000,N473)&gt;0,"",N473))</f>
        <v>#N/A</v>
      </c>
      <c r="Q473" s="21" t="e">
        <f t="shared" si="46"/>
        <v>#NUM!</v>
      </c>
      <c r="R473" s="22" t="e">
        <f t="shared" si="47"/>
        <v>#NUM!</v>
      </c>
      <c r="S473" s="11"/>
      <c r="T473" s="11"/>
      <c r="U473" s="11"/>
      <c r="W473" s="11"/>
      <c r="X473" s="2"/>
      <c r="Y473" s="2"/>
    </row>
    <row r="474" s="1" customFormat="1" spans="1:25">
      <c r="A474" s="2">
        <v>115057109</v>
      </c>
      <c r="B474" s="2"/>
      <c r="C474" s="2"/>
      <c r="D474" s="2"/>
      <c r="E474" s="2"/>
      <c r="F474" s="2"/>
      <c r="G474" s="2"/>
      <c r="H474" s="3"/>
      <c r="I474" s="2" t="e">
        <f t="shared" si="43"/>
        <v>#N/A</v>
      </c>
      <c r="J474" s="4" t="str">
        <f>IF(H474="","",IF(OR(AND(M474&lt;&gt;"",M474=IFERROR(INDEX($M$3:M473,MIN(IF(COUNTIF($M$3:M473,"0")=0,10^9,LOOKUP(2,1/($M$3:M473="0"),ROW($M$3:M473))),IF(COUNTIF($M$3:M473,"1")=0,10^9,LOOKUP(2,1/($M$3:M473="1"),ROW($M$3:M473))),IF(COUNTIF($M$3:M473,"2")=0,10^9,LOOKUP(2,1/($M$3:M473="2"),ROW($M$3:M473))),IF(COUNTIF($M$3:M473,"3")=0,10^9,LOOKUP(2,1/($M$3:M473="3"),ROW($M$3:M473))),IF(COUNTIF($M$3:M473,"4")=0,10^9,LOOKUP(2,1/($M$3:M473="4"),ROW($M$3:M473))),IF(COUNTIF($M$3:M473,"5")=0,10^9,LOOKUP(2,1/($M$3:M473="5"),ROW($M$3:M473))),IF(COUNTIF($M$3:M473,"6")=0,10^9,LOOKUP(2,1/($M$3:M473="6"),ROW($M$3:M473))),IF(COUNTIF($M$3:M473,"7")=0,10^9,LOOKUP(2,1/($M$3:M473="7"),ROW($M$3:M473))),IF(COUNTIF($M$3:M473,"8")=0,10^9,LOOKUP(2,1/($M$3:M473="8"),ROW($M$3:M473))),IF(COUNTIF($M$3:M473,"9")=0,10^9,LOOKUP(2,1/($M$3:M473="9"),ROW($M$3:M473))))-ROW($M$3)+1),"")),AND(N474&lt;&gt;"",N474=IFERROR(INDEX($N$3:N473,MIN(IF(COUNTIF($N$3:N473,"鼠")=0,10^9,LOOKUP(2,1/($N$3:N473="鼠"),ROW($N$3:N473))),IF(COUNTIF($N$3:N473,"牛")=0,10^9,LOOKUP(2,1/($N$3:N473="牛"),ROW($N$3:N473))),IF(COUNTIF($N$3:N473,"虎")=0,10^9,LOOKUP(2,1/($N$3:N473="虎"),ROW($N$3:N473))),IF(COUNTIF($N$3:N473,"兔")=0,10^9,LOOKUP(2,1/($N$3:N473="兔"),ROW($N$3:N473))),IF(COUNTIF($N$3:N473,"龙")=0,10^9,LOOKUP(2,1/($N$3:N473="龙"),ROW($N$3:N473))),IF(COUNTIF($N$3:N473,"蛇")=0,10^9,LOOKUP(2,1/($N$3:N473="蛇"),ROW($N$3:N473))),IF(COUNTIF($N$3:N473,"马")=0,10^9,LOOKUP(2,1/($N$3:N473="马"),ROW($N$3:N473))),IF(COUNTIF($N$3:N473,"羊")=0,10^9,LOOKUP(2,1/($N$3:N473="羊"),ROW($N$3:N473))),IF(COUNTIF($N$3:N473,"猴")=0,10^9,LOOKUP(2,1/($N$3:N473="猴"),ROW($N$3:N473))),IF(COUNTIF($N$3:N473,"鸡")=0,10^9,LOOKUP(2,1/($N$3:N473="鸡"),ROW($N$3:N473))),IF(COUNTIF($N$3:N473,"狗")=0,10^9,LOOKUP(2,1/($N$3:N473="狗"),ROW($N$3:N473))),IF(COUNTIF($N$3:N473,"猪")=0,10^9,LOOKUP(2,1/($N$3:N473="猪"),ROW($N$3:N473))))-ROW($N$3)+1),""))),0,IF(ISNUMBER(J473),J473+1,1)))</f>
        <v/>
      </c>
      <c r="K474" s="5" t="e">
        <f t="shared" si="48"/>
        <v>#N/A</v>
      </c>
      <c r="M474" s="6" t="str">
        <f t="shared" si="44"/>
        <v/>
      </c>
      <c r="N474" s="2" t="e">
        <f t="shared" si="45"/>
        <v>#N/A</v>
      </c>
      <c r="O474" s="7" t="str">
        <f>IF(M474="","",IF(COUNTIF(M475:$M$1000,M474)&gt;0,"",M474))</f>
        <v/>
      </c>
      <c r="P474" s="8" t="e">
        <f>IF(N474="","",IF(COUNTIF(N475:$N$1000,N474)&gt;0,"",N474))</f>
        <v>#N/A</v>
      </c>
      <c r="Q474" s="21" t="e">
        <f t="shared" si="46"/>
        <v>#NUM!</v>
      </c>
      <c r="R474" s="22" t="e">
        <f t="shared" si="47"/>
        <v>#NUM!</v>
      </c>
      <c r="S474" s="11"/>
      <c r="T474" s="11"/>
      <c r="U474" s="11"/>
      <c r="W474" s="11"/>
      <c r="X474" s="2"/>
      <c r="Y474" s="2"/>
    </row>
    <row r="475" s="1" customFormat="1" spans="1:25">
      <c r="A475" s="2">
        <v>115057110</v>
      </c>
      <c r="B475" s="2"/>
      <c r="C475" s="2"/>
      <c r="D475" s="2"/>
      <c r="E475" s="2"/>
      <c r="F475" s="2"/>
      <c r="G475" s="2"/>
      <c r="H475" s="3"/>
      <c r="I475" s="2" t="e">
        <f t="shared" si="43"/>
        <v>#N/A</v>
      </c>
      <c r="J475" s="4" t="str">
        <f>IF(H475="","",IF(OR(AND(M475&lt;&gt;"",M475=IFERROR(INDEX($M$3:M474,MIN(IF(COUNTIF($M$3:M474,"0")=0,10^9,LOOKUP(2,1/($M$3:M474="0"),ROW($M$3:M474))),IF(COUNTIF($M$3:M474,"1")=0,10^9,LOOKUP(2,1/($M$3:M474="1"),ROW($M$3:M474))),IF(COUNTIF($M$3:M474,"2")=0,10^9,LOOKUP(2,1/($M$3:M474="2"),ROW($M$3:M474))),IF(COUNTIF($M$3:M474,"3")=0,10^9,LOOKUP(2,1/($M$3:M474="3"),ROW($M$3:M474))),IF(COUNTIF($M$3:M474,"4")=0,10^9,LOOKUP(2,1/($M$3:M474="4"),ROW($M$3:M474))),IF(COUNTIF($M$3:M474,"5")=0,10^9,LOOKUP(2,1/($M$3:M474="5"),ROW($M$3:M474))),IF(COUNTIF($M$3:M474,"6")=0,10^9,LOOKUP(2,1/($M$3:M474="6"),ROW($M$3:M474))),IF(COUNTIF($M$3:M474,"7")=0,10^9,LOOKUP(2,1/($M$3:M474="7"),ROW($M$3:M474))),IF(COUNTIF($M$3:M474,"8")=0,10^9,LOOKUP(2,1/($M$3:M474="8"),ROW($M$3:M474))),IF(COUNTIF($M$3:M474,"9")=0,10^9,LOOKUP(2,1/($M$3:M474="9"),ROW($M$3:M474))))-ROW($M$3)+1),"")),AND(N475&lt;&gt;"",N475=IFERROR(INDEX($N$3:N474,MIN(IF(COUNTIF($N$3:N474,"鼠")=0,10^9,LOOKUP(2,1/($N$3:N474="鼠"),ROW($N$3:N474))),IF(COUNTIF($N$3:N474,"牛")=0,10^9,LOOKUP(2,1/($N$3:N474="牛"),ROW($N$3:N474))),IF(COUNTIF($N$3:N474,"虎")=0,10^9,LOOKUP(2,1/($N$3:N474="虎"),ROW($N$3:N474))),IF(COUNTIF($N$3:N474,"兔")=0,10^9,LOOKUP(2,1/($N$3:N474="兔"),ROW($N$3:N474))),IF(COUNTIF($N$3:N474,"龙")=0,10^9,LOOKUP(2,1/($N$3:N474="龙"),ROW($N$3:N474))),IF(COUNTIF($N$3:N474,"蛇")=0,10^9,LOOKUP(2,1/($N$3:N474="蛇"),ROW($N$3:N474))),IF(COUNTIF($N$3:N474,"马")=0,10^9,LOOKUP(2,1/($N$3:N474="马"),ROW($N$3:N474))),IF(COUNTIF($N$3:N474,"羊")=0,10^9,LOOKUP(2,1/($N$3:N474="羊"),ROW($N$3:N474))),IF(COUNTIF($N$3:N474,"猴")=0,10^9,LOOKUP(2,1/($N$3:N474="猴"),ROW($N$3:N474))),IF(COUNTIF($N$3:N474,"鸡")=0,10^9,LOOKUP(2,1/($N$3:N474="鸡"),ROW($N$3:N474))),IF(COUNTIF($N$3:N474,"狗")=0,10^9,LOOKUP(2,1/($N$3:N474="狗"),ROW($N$3:N474))),IF(COUNTIF($N$3:N474,"猪")=0,10^9,LOOKUP(2,1/($N$3:N474="猪"),ROW($N$3:N474))))-ROW($N$3)+1),""))),0,IF(ISNUMBER(J474),J474+1,1)))</f>
        <v/>
      </c>
      <c r="K475" s="5" t="e">
        <f t="shared" si="48"/>
        <v>#N/A</v>
      </c>
      <c r="M475" s="6" t="str">
        <f t="shared" si="44"/>
        <v/>
      </c>
      <c r="N475" s="2" t="e">
        <f t="shared" si="45"/>
        <v>#N/A</v>
      </c>
      <c r="O475" s="7" t="str">
        <f>IF(M475="","",IF(COUNTIF(M476:$M$1000,M475)&gt;0,"",M475))</f>
        <v/>
      </c>
      <c r="P475" s="8" t="e">
        <f>IF(N475="","",IF(COUNTIF(N476:$N$1000,N475)&gt;0,"",N475))</f>
        <v>#N/A</v>
      </c>
      <c r="Q475" s="21" t="e">
        <f t="shared" si="46"/>
        <v>#NUM!</v>
      </c>
      <c r="R475" s="22" t="e">
        <f t="shared" si="47"/>
        <v>#NUM!</v>
      </c>
      <c r="S475" s="11"/>
      <c r="T475" s="11"/>
      <c r="U475" s="11"/>
      <c r="W475" s="11"/>
      <c r="X475" s="2"/>
      <c r="Y475" s="2"/>
    </row>
    <row r="476" s="1" customFormat="1" spans="1:25">
      <c r="A476" s="2">
        <v>115057111</v>
      </c>
      <c r="B476" s="2"/>
      <c r="C476" s="2"/>
      <c r="D476" s="2"/>
      <c r="E476" s="2"/>
      <c r="F476" s="2"/>
      <c r="G476" s="2"/>
      <c r="H476" s="3"/>
      <c r="I476" s="2" t="e">
        <f t="shared" si="43"/>
        <v>#N/A</v>
      </c>
      <c r="J476" s="4" t="str">
        <f>IF(H476="","",IF(OR(AND(M476&lt;&gt;"",M476=IFERROR(INDEX($M$3:M475,MIN(IF(COUNTIF($M$3:M475,"0")=0,10^9,LOOKUP(2,1/($M$3:M475="0"),ROW($M$3:M475))),IF(COUNTIF($M$3:M475,"1")=0,10^9,LOOKUP(2,1/($M$3:M475="1"),ROW($M$3:M475))),IF(COUNTIF($M$3:M475,"2")=0,10^9,LOOKUP(2,1/($M$3:M475="2"),ROW($M$3:M475))),IF(COUNTIF($M$3:M475,"3")=0,10^9,LOOKUP(2,1/($M$3:M475="3"),ROW($M$3:M475))),IF(COUNTIF($M$3:M475,"4")=0,10^9,LOOKUP(2,1/($M$3:M475="4"),ROW($M$3:M475))),IF(COUNTIF($M$3:M475,"5")=0,10^9,LOOKUP(2,1/($M$3:M475="5"),ROW($M$3:M475))),IF(COUNTIF($M$3:M475,"6")=0,10^9,LOOKUP(2,1/($M$3:M475="6"),ROW($M$3:M475))),IF(COUNTIF($M$3:M475,"7")=0,10^9,LOOKUP(2,1/($M$3:M475="7"),ROW($M$3:M475))),IF(COUNTIF($M$3:M475,"8")=0,10^9,LOOKUP(2,1/($M$3:M475="8"),ROW($M$3:M475))),IF(COUNTIF($M$3:M475,"9")=0,10^9,LOOKUP(2,1/($M$3:M475="9"),ROW($M$3:M475))))-ROW($M$3)+1),"")),AND(N476&lt;&gt;"",N476=IFERROR(INDEX($N$3:N475,MIN(IF(COUNTIF($N$3:N475,"鼠")=0,10^9,LOOKUP(2,1/($N$3:N475="鼠"),ROW($N$3:N475))),IF(COUNTIF($N$3:N475,"牛")=0,10^9,LOOKUP(2,1/($N$3:N475="牛"),ROW($N$3:N475))),IF(COUNTIF($N$3:N475,"虎")=0,10^9,LOOKUP(2,1/($N$3:N475="虎"),ROW($N$3:N475))),IF(COUNTIF($N$3:N475,"兔")=0,10^9,LOOKUP(2,1/($N$3:N475="兔"),ROW($N$3:N475))),IF(COUNTIF($N$3:N475,"龙")=0,10^9,LOOKUP(2,1/($N$3:N475="龙"),ROW($N$3:N475))),IF(COUNTIF($N$3:N475,"蛇")=0,10^9,LOOKUP(2,1/($N$3:N475="蛇"),ROW($N$3:N475))),IF(COUNTIF($N$3:N475,"马")=0,10^9,LOOKUP(2,1/($N$3:N475="马"),ROW($N$3:N475))),IF(COUNTIF($N$3:N475,"羊")=0,10^9,LOOKUP(2,1/($N$3:N475="羊"),ROW($N$3:N475))),IF(COUNTIF($N$3:N475,"猴")=0,10^9,LOOKUP(2,1/($N$3:N475="猴"),ROW($N$3:N475))),IF(COUNTIF($N$3:N475,"鸡")=0,10^9,LOOKUP(2,1/($N$3:N475="鸡"),ROW($N$3:N475))),IF(COUNTIF($N$3:N475,"狗")=0,10^9,LOOKUP(2,1/($N$3:N475="狗"),ROW($N$3:N475))),IF(COUNTIF($N$3:N475,"猪")=0,10^9,LOOKUP(2,1/($N$3:N475="猪"),ROW($N$3:N475))))-ROW($N$3)+1),""))),0,IF(ISNUMBER(J475),J475+1,1)))</f>
        <v/>
      </c>
      <c r="K476" s="5" t="e">
        <f t="shared" si="48"/>
        <v>#N/A</v>
      </c>
      <c r="M476" s="6" t="str">
        <f t="shared" si="44"/>
        <v/>
      </c>
      <c r="N476" s="2" t="e">
        <f t="shared" si="45"/>
        <v>#N/A</v>
      </c>
      <c r="O476" s="7" t="str">
        <f>IF(M476="","",IF(COUNTIF(M477:$M$1000,M476)&gt;0,"",M476))</f>
        <v/>
      </c>
      <c r="P476" s="8" t="e">
        <f>IF(N476="","",IF(COUNTIF(N477:$N$1000,N476)&gt;0,"",N476))</f>
        <v>#N/A</v>
      </c>
      <c r="Q476" s="21" t="e">
        <f t="shared" si="46"/>
        <v>#NUM!</v>
      </c>
      <c r="R476" s="22" t="e">
        <f t="shared" si="47"/>
        <v>#NUM!</v>
      </c>
      <c r="S476" s="11"/>
      <c r="T476" s="11"/>
      <c r="U476" s="11"/>
      <c r="W476" s="11"/>
      <c r="X476" s="2"/>
      <c r="Y476" s="2"/>
    </row>
    <row r="477" s="1" customFormat="1" spans="1:25">
      <c r="A477" s="2">
        <v>115057112</v>
      </c>
      <c r="B477" s="2"/>
      <c r="C477" s="2"/>
      <c r="D477" s="2"/>
      <c r="E477" s="2"/>
      <c r="F477" s="2"/>
      <c r="G477" s="2"/>
      <c r="H477" s="3"/>
      <c r="I477" s="2" t="e">
        <f t="shared" si="43"/>
        <v>#N/A</v>
      </c>
      <c r="J477" s="4" t="str">
        <f>IF(H477="","",IF(OR(AND(M477&lt;&gt;"",M477=IFERROR(INDEX($M$3:M476,MIN(IF(COUNTIF($M$3:M476,"0")=0,10^9,LOOKUP(2,1/($M$3:M476="0"),ROW($M$3:M476))),IF(COUNTIF($M$3:M476,"1")=0,10^9,LOOKUP(2,1/($M$3:M476="1"),ROW($M$3:M476))),IF(COUNTIF($M$3:M476,"2")=0,10^9,LOOKUP(2,1/($M$3:M476="2"),ROW($M$3:M476))),IF(COUNTIF($M$3:M476,"3")=0,10^9,LOOKUP(2,1/($M$3:M476="3"),ROW($M$3:M476))),IF(COUNTIF($M$3:M476,"4")=0,10^9,LOOKUP(2,1/($M$3:M476="4"),ROW($M$3:M476))),IF(COUNTIF($M$3:M476,"5")=0,10^9,LOOKUP(2,1/($M$3:M476="5"),ROW($M$3:M476))),IF(COUNTIF($M$3:M476,"6")=0,10^9,LOOKUP(2,1/($M$3:M476="6"),ROW($M$3:M476))),IF(COUNTIF($M$3:M476,"7")=0,10^9,LOOKUP(2,1/($M$3:M476="7"),ROW($M$3:M476))),IF(COUNTIF($M$3:M476,"8")=0,10^9,LOOKUP(2,1/($M$3:M476="8"),ROW($M$3:M476))),IF(COUNTIF($M$3:M476,"9")=0,10^9,LOOKUP(2,1/($M$3:M476="9"),ROW($M$3:M476))))-ROW($M$3)+1),"")),AND(N477&lt;&gt;"",N477=IFERROR(INDEX($N$3:N476,MIN(IF(COUNTIF($N$3:N476,"鼠")=0,10^9,LOOKUP(2,1/($N$3:N476="鼠"),ROW($N$3:N476))),IF(COUNTIF($N$3:N476,"牛")=0,10^9,LOOKUP(2,1/($N$3:N476="牛"),ROW($N$3:N476))),IF(COUNTIF($N$3:N476,"虎")=0,10^9,LOOKUP(2,1/($N$3:N476="虎"),ROW($N$3:N476))),IF(COUNTIF($N$3:N476,"兔")=0,10^9,LOOKUP(2,1/($N$3:N476="兔"),ROW($N$3:N476))),IF(COUNTIF($N$3:N476,"龙")=0,10^9,LOOKUP(2,1/($N$3:N476="龙"),ROW($N$3:N476))),IF(COUNTIF($N$3:N476,"蛇")=0,10^9,LOOKUP(2,1/($N$3:N476="蛇"),ROW($N$3:N476))),IF(COUNTIF($N$3:N476,"马")=0,10^9,LOOKUP(2,1/($N$3:N476="马"),ROW($N$3:N476))),IF(COUNTIF($N$3:N476,"羊")=0,10^9,LOOKUP(2,1/($N$3:N476="羊"),ROW($N$3:N476))),IF(COUNTIF($N$3:N476,"猴")=0,10^9,LOOKUP(2,1/($N$3:N476="猴"),ROW($N$3:N476))),IF(COUNTIF($N$3:N476,"鸡")=0,10^9,LOOKUP(2,1/($N$3:N476="鸡"),ROW($N$3:N476))),IF(COUNTIF($N$3:N476,"狗")=0,10^9,LOOKUP(2,1/($N$3:N476="狗"),ROW($N$3:N476))),IF(COUNTIF($N$3:N476,"猪")=0,10^9,LOOKUP(2,1/($N$3:N476="猪"),ROW($N$3:N476))))-ROW($N$3)+1),""))),0,IF(ISNUMBER(J476),J476+1,1)))</f>
        <v/>
      </c>
      <c r="K477" s="5" t="e">
        <f t="shared" si="48"/>
        <v>#N/A</v>
      </c>
      <c r="M477" s="6" t="str">
        <f t="shared" si="44"/>
        <v/>
      </c>
      <c r="N477" s="2" t="e">
        <f t="shared" si="45"/>
        <v>#N/A</v>
      </c>
      <c r="O477" s="7" t="str">
        <f>IF(M477="","",IF(COUNTIF(M478:$M$1000,M477)&gt;0,"",M477))</f>
        <v/>
      </c>
      <c r="P477" s="8" t="e">
        <f>IF(N477="","",IF(COUNTIF(N478:$N$1000,N477)&gt;0,"",N477))</f>
        <v>#N/A</v>
      </c>
      <c r="Q477" s="21" t="e">
        <f t="shared" si="46"/>
        <v>#NUM!</v>
      </c>
      <c r="R477" s="22" t="e">
        <f t="shared" si="47"/>
        <v>#NUM!</v>
      </c>
      <c r="S477" s="11"/>
      <c r="T477" s="11"/>
      <c r="U477" s="11"/>
      <c r="W477" s="11"/>
      <c r="X477" s="2"/>
      <c r="Y477" s="2"/>
    </row>
    <row r="478" s="1" customFormat="1" spans="1:25">
      <c r="A478" s="2">
        <v>115057113</v>
      </c>
      <c r="B478" s="2"/>
      <c r="C478" s="2"/>
      <c r="D478" s="2"/>
      <c r="E478" s="2"/>
      <c r="F478" s="2"/>
      <c r="G478" s="2"/>
      <c r="H478" s="3"/>
      <c r="I478" s="2" t="e">
        <f t="shared" si="43"/>
        <v>#N/A</v>
      </c>
      <c r="J478" s="4" t="str">
        <f>IF(H478="","",IF(OR(AND(M478&lt;&gt;"",M478=IFERROR(INDEX($M$3:M477,MIN(IF(COUNTIF($M$3:M477,"0")=0,10^9,LOOKUP(2,1/($M$3:M477="0"),ROW($M$3:M477))),IF(COUNTIF($M$3:M477,"1")=0,10^9,LOOKUP(2,1/($M$3:M477="1"),ROW($M$3:M477))),IF(COUNTIF($M$3:M477,"2")=0,10^9,LOOKUP(2,1/($M$3:M477="2"),ROW($M$3:M477))),IF(COUNTIF($M$3:M477,"3")=0,10^9,LOOKUP(2,1/($M$3:M477="3"),ROW($M$3:M477))),IF(COUNTIF($M$3:M477,"4")=0,10^9,LOOKUP(2,1/($M$3:M477="4"),ROW($M$3:M477))),IF(COUNTIF($M$3:M477,"5")=0,10^9,LOOKUP(2,1/($M$3:M477="5"),ROW($M$3:M477))),IF(COUNTIF($M$3:M477,"6")=0,10^9,LOOKUP(2,1/($M$3:M477="6"),ROW($M$3:M477))),IF(COUNTIF($M$3:M477,"7")=0,10^9,LOOKUP(2,1/($M$3:M477="7"),ROW($M$3:M477))),IF(COUNTIF($M$3:M477,"8")=0,10^9,LOOKUP(2,1/($M$3:M477="8"),ROW($M$3:M477))),IF(COUNTIF($M$3:M477,"9")=0,10^9,LOOKUP(2,1/($M$3:M477="9"),ROW($M$3:M477))))-ROW($M$3)+1),"")),AND(N478&lt;&gt;"",N478=IFERROR(INDEX($N$3:N477,MIN(IF(COUNTIF($N$3:N477,"鼠")=0,10^9,LOOKUP(2,1/($N$3:N477="鼠"),ROW($N$3:N477))),IF(COUNTIF($N$3:N477,"牛")=0,10^9,LOOKUP(2,1/($N$3:N477="牛"),ROW($N$3:N477))),IF(COUNTIF($N$3:N477,"虎")=0,10^9,LOOKUP(2,1/($N$3:N477="虎"),ROW($N$3:N477))),IF(COUNTIF($N$3:N477,"兔")=0,10^9,LOOKUP(2,1/($N$3:N477="兔"),ROW($N$3:N477))),IF(COUNTIF($N$3:N477,"龙")=0,10^9,LOOKUP(2,1/($N$3:N477="龙"),ROW($N$3:N477))),IF(COUNTIF($N$3:N477,"蛇")=0,10^9,LOOKUP(2,1/($N$3:N477="蛇"),ROW($N$3:N477))),IF(COUNTIF($N$3:N477,"马")=0,10^9,LOOKUP(2,1/($N$3:N477="马"),ROW($N$3:N477))),IF(COUNTIF($N$3:N477,"羊")=0,10^9,LOOKUP(2,1/($N$3:N477="羊"),ROW($N$3:N477))),IF(COUNTIF($N$3:N477,"猴")=0,10^9,LOOKUP(2,1/($N$3:N477="猴"),ROW($N$3:N477))),IF(COUNTIF($N$3:N477,"鸡")=0,10^9,LOOKUP(2,1/($N$3:N477="鸡"),ROW($N$3:N477))),IF(COUNTIF($N$3:N477,"狗")=0,10^9,LOOKUP(2,1/($N$3:N477="狗"),ROW($N$3:N477))),IF(COUNTIF($N$3:N477,"猪")=0,10^9,LOOKUP(2,1/($N$3:N477="猪"),ROW($N$3:N477))))-ROW($N$3)+1),""))),0,IF(ISNUMBER(J477),J477+1,1)))</f>
        <v/>
      </c>
      <c r="K478" s="5" t="e">
        <f t="shared" si="48"/>
        <v>#N/A</v>
      </c>
      <c r="M478" s="6" t="str">
        <f t="shared" si="44"/>
        <v/>
      </c>
      <c r="N478" s="2" t="e">
        <f t="shared" si="45"/>
        <v>#N/A</v>
      </c>
      <c r="O478" s="7" t="str">
        <f>IF(M478="","",IF(COUNTIF(M479:$M$1000,M478)&gt;0,"",M478))</f>
        <v/>
      </c>
      <c r="P478" s="8" t="e">
        <f>IF(N478="","",IF(COUNTIF(N479:$N$1000,N478)&gt;0,"",N478))</f>
        <v>#N/A</v>
      </c>
      <c r="Q478" s="21" t="e">
        <f t="shared" si="46"/>
        <v>#NUM!</v>
      </c>
      <c r="R478" s="22" t="e">
        <f t="shared" si="47"/>
        <v>#NUM!</v>
      </c>
      <c r="S478" s="11"/>
      <c r="T478" s="11"/>
      <c r="U478" s="11"/>
      <c r="W478" s="11"/>
      <c r="X478" s="2"/>
      <c r="Y478" s="2"/>
    </row>
    <row r="479" s="1" customFormat="1" spans="1:25">
      <c r="A479" s="2">
        <v>115057114</v>
      </c>
      <c r="B479" s="2"/>
      <c r="C479" s="2"/>
      <c r="D479" s="2"/>
      <c r="E479" s="2"/>
      <c r="F479" s="2"/>
      <c r="G479" s="2"/>
      <c r="H479" s="3"/>
      <c r="I479" s="2" t="e">
        <f t="shared" si="43"/>
        <v>#N/A</v>
      </c>
      <c r="J479" s="4" t="str">
        <f>IF(H479="","",IF(OR(AND(M479&lt;&gt;"",M479=IFERROR(INDEX($M$3:M478,MIN(IF(COUNTIF($M$3:M478,"0")=0,10^9,LOOKUP(2,1/($M$3:M478="0"),ROW($M$3:M478))),IF(COUNTIF($M$3:M478,"1")=0,10^9,LOOKUP(2,1/($M$3:M478="1"),ROW($M$3:M478))),IF(COUNTIF($M$3:M478,"2")=0,10^9,LOOKUP(2,1/($M$3:M478="2"),ROW($M$3:M478))),IF(COUNTIF($M$3:M478,"3")=0,10^9,LOOKUP(2,1/($M$3:M478="3"),ROW($M$3:M478))),IF(COUNTIF($M$3:M478,"4")=0,10^9,LOOKUP(2,1/($M$3:M478="4"),ROW($M$3:M478))),IF(COUNTIF($M$3:M478,"5")=0,10^9,LOOKUP(2,1/($M$3:M478="5"),ROW($M$3:M478))),IF(COUNTIF($M$3:M478,"6")=0,10^9,LOOKUP(2,1/($M$3:M478="6"),ROW($M$3:M478))),IF(COUNTIF($M$3:M478,"7")=0,10^9,LOOKUP(2,1/($M$3:M478="7"),ROW($M$3:M478))),IF(COUNTIF($M$3:M478,"8")=0,10^9,LOOKUP(2,1/($M$3:M478="8"),ROW($M$3:M478))),IF(COUNTIF($M$3:M478,"9")=0,10^9,LOOKUP(2,1/($M$3:M478="9"),ROW($M$3:M478))))-ROW($M$3)+1),"")),AND(N479&lt;&gt;"",N479=IFERROR(INDEX($N$3:N478,MIN(IF(COUNTIF($N$3:N478,"鼠")=0,10^9,LOOKUP(2,1/($N$3:N478="鼠"),ROW($N$3:N478))),IF(COUNTIF($N$3:N478,"牛")=0,10^9,LOOKUP(2,1/($N$3:N478="牛"),ROW($N$3:N478))),IF(COUNTIF($N$3:N478,"虎")=0,10^9,LOOKUP(2,1/($N$3:N478="虎"),ROW($N$3:N478))),IF(COUNTIF($N$3:N478,"兔")=0,10^9,LOOKUP(2,1/($N$3:N478="兔"),ROW($N$3:N478))),IF(COUNTIF($N$3:N478,"龙")=0,10^9,LOOKUP(2,1/($N$3:N478="龙"),ROW($N$3:N478))),IF(COUNTIF($N$3:N478,"蛇")=0,10^9,LOOKUP(2,1/($N$3:N478="蛇"),ROW($N$3:N478))),IF(COUNTIF($N$3:N478,"马")=0,10^9,LOOKUP(2,1/($N$3:N478="马"),ROW($N$3:N478))),IF(COUNTIF($N$3:N478,"羊")=0,10^9,LOOKUP(2,1/($N$3:N478="羊"),ROW($N$3:N478))),IF(COUNTIF($N$3:N478,"猴")=0,10^9,LOOKUP(2,1/($N$3:N478="猴"),ROW($N$3:N478))),IF(COUNTIF($N$3:N478,"鸡")=0,10^9,LOOKUP(2,1/($N$3:N478="鸡"),ROW($N$3:N478))),IF(COUNTIF($N$3:N478,"狗")=0,10^9,LOOKUP(2,1/($N$3:N478="狗"),ROW($N$3:N478))),IF(COUNTIF($N$3:N478,"猪")=0,10^9,LOOKUP(2,1/($N$3:N478="猪"),ROW($N$3:N478))))-ROW($N$3)+1),""))),0,IF(ISNUMBER(J478),J478+1,1)))</f>
        <v/>
      </c>
      <c r="K479" s="5" t="e">
        <f t="shared" si="48"/>
        <v>#N/A</v>
      </c>
      <c r="M479" s="6" t="str">
        <f t="shared" si="44"/>
        <v/>
      </c>
      <c r="N479" s="2" t="e">
        <f t="shared" si="45"/>
        <v>#N/A</v>
      </c>
      <c r="O479" s="7" t="str">
        <f>IF(M479="","",IF(COUNTIF(M480:$M$1000,M479)&gt;0,"",M479))</f>
        <v/>
      </c>
      <c r="P479" s="8" t="e">
        <f>IF(N479="","",IF(COUNTIF(N480:$N$1000,N479)&gt;0,"",N479))</f>
        <v>#N/A</v>
      </c>
      <c r="Q479" s="21" t="e">
        <f t="shared" si="46"/>
        <v>#NUM!</v>
      </c>
      <c r="R479" s="22" t="e">
        <f t="shared" si="47"/>
        <v>#NUM!</v>
      </c>
      <c r="S479" s="11"/>
      <c r="T479" s="11"/>
      <c r="U479" s="11"/>
      <c r="W479" s="11"/>
      <c r="X479" s="2"/>
      <c r="Y479" s="2"/>
    </row>
    <row r="480" s="1" customFormat="1" spans="1:25">
      <c r="A480" s="2">
        <v>115057115</v>
      </c>
      <c r="B480" s="2"/>
      <c r="C480" s="2"/>
      <c r="D480" s="2"/>
      <c r="E480" s="2"/>
      <c r="F480" s="2"/>
      <c r="G480" s="2"/>
      <c r="H480" s="3"/>
      <c r="I480" s="2" t="e">
        <f t="shared" si="43"/>
        <v>#N/A</v>
      </c>
      <c r="J480" s="4" t="str">
        <f>IF(H480="","",IF(OR(AND(M480&lt;&gt;"",M480=IFERROR(INDEX($M$3:M479,MIN(IF(COUNTIF($M$3:M479,"0")=0,10^9,LOOKUP(2,1/($M$3:M479="0"),ROW($M$3:M479))),IF(COUNTIF($M$3:M479,"1")=0,10^9,LOOKUP(2,1/($M$3:M479="1"),ROW($M$3:M479))),IF(COUNTIF($M$3:M479,"2")=0,10^9,LOOKUP(2,1/($M$3:M479="2"),ROW($M$3:M479))),IF(COUNTIF($M$3:M479,"3")=0,10^9,LOOKUP(2,1/($M$3:M479="3"),ROW($M$3:M479))),IF(COUNTIF($M$3:M479,"4")=0,10^9,LOOKUP(2,1/($M$3:M479="4"),ROW($M$3:M479))),IF(COUNTIF($M$3:M479,"5")=0,10^9,LOOKUP(2,1/($M$3:M479="5"),ROW($M$3:M479))),IF(COUNTIF($M$3:M479,"6")=0,10^9,LOOKUP(2,1/($M$3:M479="6"),ROW($M$3:M479))),IF(COUNTIF($M$3:M479,"7")=0,10^9,LOOKUP(2,1/($M$3:M479="7"),ROW($M$3:M479))),IF(COUNTIF($M$3:M479,"8")=0,10^9,LOOKUP(2,1/($M$3:M479="8"),ROW($M$3:M479))),IF(COUNTIF($M$3:M479,"9")=0,10^9,LOOKUP(2,1/($M$3:M479="9"),ROW($M$3:M479))))-ROW($M$3)+1),"")),AND(N480&lt;&gt;"",N480=IFERROR(INDEX($N$3:N479,MIN(IF(COUNTIF($N$3:N479,"鼠")=0,10^9,LOOKUP(2,1/($N$3:N479="鼠"),ROW($N$3:N479))),IF(COUNTIF($N$3:N479,"牛")=0,10^9,LOOKUP(2,1/($N$3:N479="牛"),ROW($N$3:N479))),IF(COUNTIF($N$3:N479,"虎")=0,10^9,LOOKUP(2,1/($N$3:N479="虎"),ROW($N$3:N479))),IF(COUNTIF($N$3:N479,"兔")=0,10^9,LOOKUP(2,1/($N$3:N479="兔"),ROW($N$3:N479))),IF(COUNTIF($N$3:N479,"龙")=0,10^9,LOOKUP(2,1/($N$3:N479="龙"),ROW($N$3:N479))),IF(COUNTIF($N$3:N479,"蛇")=0,10^9,LOOKUP(2,1/($N$3:N479="蛇"),ROW($N$3:N479))),IF(COUNTIF($N$3:N479,"马")=0,10^9,LOOKUP(2,1/($N$3:N479="马"),ROW($N$3:N479))),IF(COUNTIF($N$3:N479,"羊")=0,10^9,LOOKUP(2,1/($N$3:N479="羊"),ROW($N$3:N479))),IF(COUNTIF($N$3:N479,"猴")=0,10^9,LOOKUP(2,1/($N$3:N479="猴"),ROW($N$3:N479))),IF(COUNTIF($N$3:N479,"鸡")=0,10^9,LOOKUP(2,1/($N$3:N479="鸡"),ROW($N$3:N479))),IF(COUNTIF($N$3:N479,"狗")=0,10^9,LOOKUP(2,1/($N$3:N479="狗"),ROW($N$3:N479))),IF(COUNTIF($N$3:N479,"猪")=0,10^9,LOOKUP(2,1/($N$3:N479="猪"),ROW($N$3:N479))))-ROW($N$3)+1),""))),0,IF(ISNUMBER(J479),J479+1,1)))</f>
        <v/>
      </c>
      <c r="K480" s="5" t="e">
        <f t="shared" si="48"/>
        <v>#N/A</v>
      </c>
      <c r="M480" s="6" t="str">
        <f t="shared" si="44"/>
        <v/>
      </c>
      <c r="N480" s="2" t="e">
        <f t="shared" si="45"/>
        <v>#N/A</v>
      </c>
      <c r="O480" s="7" t="str">
        <f>IF(M480="","",IF(COUNTIF(M481:$M$1000,M480)&gt;0,"",M480))</f>
        <v/>
      </c>
      <c r="P480" s="8" t="e">
        <f>IF(N480="","",IF(COUNTIF(N481:$N$1000,N480)&gt;0,"",N480))</f>
        <v>#N/A</v>
      </c>
      <c r="Q480" s="21" t="e">
        <f t="shared" si="46"/>
        <v>#NUM!</v>
      </c>
      <c r="R480" s="22" t="e">
        <f t="shared" si="47"/>
        <v>#NUM!</v>
      </c>
      <c r="S480" s="11"/>
      <c r="T480" s="11"/>
      <c r="U480" s="11"/>
      <c r="W480" s="11"/>
      <c r="X480" s="2"/>
      <c r="Y480" s="2"/>
    </row>
    <row r="481" s="1" customFormat="1" spans="1:25">
      <c r="A481" s="2">
        <v>115057116</v>
      </c>
      <c r="B481" s="2"/>
      <c r="C481" s="2"/>
      <c r="D481" s="2"/>
      <c r="E481" s="2"/>
      <c r="F481" s="2"/>
      <c r="G481" s="2"/>
      <c r="H481" s="3"/>
      <c r="I481" s="2" t="e">
        <f t="shared" si="43"/>
        <v>#N/A</v>
      </c>
      <c r="J481" s="4" t="str">
        <f>IF(H481="","",IF(OR(AND(M481&lt;&gt;"",M481=IFERROR(INDEX($M$3:M480,MIN(IF(COUNTIF($M$3:M480,"0")=0,10^9,LOOKUP(2,1/($M$3:M480="0"),ROW($M$3:M480))),IF(COUNTIF($M$3:M480,"1")=0,10^9,LOOKUP(2,1/($M$3:M480="1"),ROW($M$3:M480))),IF(COUNTIF($M$3:M480,"2")=0,10^9,LOOKUP(2,1/($M$3:M480="2"),ROW($M$3:M480))),IF(COUNTIF($M$3:M480,"3")=0,10^9,LOOKUP(2,1/($M$3:M480="3"),ROW($M$3:M480))),IF(COUNTIF($M$3:M480,"4")=0,10^9,LOOKUP(2,1/($M$3:M480="4"),ROW($M$3:M480))),IF(COUNTIF($M$3:M480,"5")=0,10^9,LOOKUP(2,1/($M$3:M480="5"),ROW($M$3:M480))),IF(COUNTIF($M$3:M480,"6")=0,10^9,LOOKUP(2,1/($M$3:M480="6"),ROW($M$3:M480))),IF(COUNTIF($M$3:M480,"7")=0,10^9,LOOKUP(2,1/($M$3:M480="7"),ROW($M$3:M480))),IF(COUNTIF($M$3:M480,"8")=0,10^9,LOOKUP(2,1/($M$3:M480="8"),ROW($M$3:M480))),IF(COUNTIF($M$3:M480,"9")=0,10^9,LOOKUP(2,1/($M$3:M480="9"),ROW($M$3:M480))))-ROW($M$3)+1),"")),AND(N481&lt;&gt;"",N481=IFERROR(INDEX($N$3:N480,MIN(IF(COUNTIF($N$3:N480,"鼠")=0,10^9,LOOKUP(2,1/($N$3:N480="鼠"),ROW($N$3:N480))),IF(COUNTIF($N$3:N480,"牛")=0,10^9,LOOKUP(2,1/($N$3:N480="牛"),ROW($N$3:N480))),IF(COUNTIF($N$3:N480,"虎")=0,10^9,LOOKUP(2,1/($N$3:N480="虎"),ROW($N$3:N480))),IF(COUNTIF($N$3:N480,"兔")=0,10^9,LOOKUP(2,1/($N$3:N480="兔"),ROW($N$3:N480))),IF(COUNTIF($N$3:N480,"龙")=0,10^9,LOOKUP(2,1/($N$3:N480="龙"),ROW($N$3:N480))),IF(COUNTIF($N$3:N480,"蛇")=0,10^9,LOOKUP(2,1/($N$3:N480="蛇"),ROW($N$3:N480))),IF(COUNTIF($N$3:N480,"马")=0,10^9,LOOKUP(2,1/($N$3:N480="马"),ROW($N$3:N480))),IF(COUNTIF($N$3:N480,"羊")=0,10^9,LOOKUP(2,1/($N$3:N480="羊"),ROW($N$3:N480))),IF(COUNTIF($N$3:N480,"猴")=0,10^9,LOOKUP(2,1/($N$3:N480="猴"),ROW($N$3:N480))),IF(COUNTIF($N$3:N480,"鸡")=0,10^9,LOOKUP(2,1/($N$3:N480="鸡"),ROW($N$3:N480))),IF(COUNTIF($N$3:N480,"狗")=0,10^9,LOOKUP(2,1/($N$3:N480="狗"),ROW($N$3:N480))),IF(COUNTIF($N$3:N480,"猪")=0,10^9,LOOKUP(2,1/($N$3:N480="猪"),ROW($N$3:N480))))-ROW($N$3)+1),""))),0,IF(ISNUMBER(J480),J480+1,1)))</f>
        <v/>
      </c>
      <c r="K481" s="5" t="e">
        <f t="shared" si="48"/>
        <v>#N/A</v>
      </c>
      <c r="M481" s="6" t="str">
        <f t="shared" si="44"/>
        <v/>
      </c>
      <c r="N481" s="2" t="e">
        <f t="shared" si="45"/>
        <v>#N/A</v>
      </c>
      <c r="O481" s="7" t="str">
        <f>IF(M481="","",IF(COUNTIF(M482:$M$1000,M481)&gt;0,"",M481))</f>
        <v/>
      </c>
      <c r="P481" s="8" t="e">
        <f>IF(N481="","",IF(COUNTIF(N482:$N$1000,N481)&gt;0,"",N481))</f>
        <v>#N/A</v>
      </c>
      <c r="Q481" s="21" t="e">
        <f t="shared" si="46"/>
        <v>#NUM!</v>
      </c>
      <c r="R481" s="22" t="e">
        <f t="shared" si="47"/>
        <v>#NUM!</v>
      </c>
      <c r="S481" s="11"/>
      <c r="T481" s="11"/>
      <c r="U481" s="11"/>
      <c r="W481" s="11"/>
      <c r="X481" s="2"/>
      <c r="Y481" s="2"/>
    </row>
    <row r="482" s="1" customFormat="1" spans="1:25">
      <c r="A482" s="2">
        <v>115057117</v>
      </c>
      <c r="B482" s="2"/>
      <c r="C482" s="2"/>
      <c r="D482" s="2"/>
      <c r="E482" s="2"/>
      <c r="F482" s="2"/>
      <c r="G482" s="2"/>
      <c r="H482" s="3"/>
      <c r="I482" s="2" t="e">
        <f t="shared" si="43"/>
        <v>#N/A</v>
      </c>
      <c r="J482" s="4" t="str">
        <f>IF(H482="","",IF(OR(AND(M482&lt;&gt;"",M482=IFERROR(INDEX($M$3:M481,MIN(IF(COUNTIF($M$3:M481,"0")=0,10^9,LOOKUP(2,1/($M$3:M481="0"),ROW($M$3:M481))),IF(COUNTIF($M$3:M481,"1")=0,10^9,LOOKUP(2,1/($M$3:M481="1"),ROW($M$3:M481))),IF(COUNTIF($M$3:M481,"2")=0,10^9,LOOKUP(2,1/($M$3:M481="2"),ROW($M$3:M481))),IF(COUNTIF($M$3:M481,"3")=0,10^9,LOOKUP(2,1/($M$3:M481="3"),ROW($M$3:M481))),IF(COUNTIF($M$3:M481,"4")=0,10^9,LOOKUP(2,1/($M$3:M481="4"),ROW($M$3:M481))),IF(COUNTIF($M$3:M481,"5")=0,10^9,LOOKUP(2,1/($M$3:M481="5"),ROW($M$3:M481))),IF(COUNTIF($M$3:M481,"6")=0,10^9,LOOKUP(2,1/($M$3:M481="6"),ROW($M$3:M481))),IF(COUNTIF($M$3:M481,"7")=0,10^9,LOOKUP(2,1/($M$3:M481="7"),ROW($M$3:M481))),IF(COUNTIF($M$3:M481,"8")=0,10^9,LOOKUP(2,1/($M$3:M481="8"),ROW($M$3:M481))),IF(COUNTIF($M$3:M481,"9")=0,10^9,LOOKUP(2,1/($M$3:M481="9"),ROW($M$3:M481))))-ROW($M$3)+1),"")),AND(N482&lt;&gt;"",N482=IFERROR(INDEX($N$3:N481,MIN(IF(COUNTIF($N$3:N481,"鼠")=0,10^9,LOOKUP(2,1/($N$3:N481="鼠"),ROW($N$3:N481))),IF(COUNTIF($N$3:N481,"牛")=0,10^9,LOOKUP(2,1/($N$3:N481="牛"),ROW($N$3:N481))),IF(COUNTIF($N$3:N481,"虎")=0,10^9,LOOKUP(2,1/($N$3:N481="虎"),ROW($N$3:N481))),IF(COUNTIF($N$3:N481,"兔")=0,10^9,LOOKUP(2,1/($N$3:N481="兔"),ROW($N$3:N481))),IF(COUNTIF($N$3:N481,"龙")=0,10^9,LOOKUP(2,1/($N$3:N481="龙"),ROW($N$3:N481))),IF(COUNTIF($N$3:N481,"蛇")=0,10^9,LOOKUP(2,1/($N$3:N481="蛇"),ROW($N$3:N481))),IF(COUNTIF($N$3:N481,"马")=0,10^9,LOOKUP(2,1/($N$3:N481="马"),ROW($N$3:N481))),IF(COUNTIF($N$3:N481,"羊")=0,10^9,LOOKUP(2,1/($N$3:N481="羊"),ROW($N$3:N481))),IF(COUNTIF($N$3:N481,"猴")=0,10^9,LOOKUP(2,1/($N$3:N481="猴"),ROW($N$3:N481))),IF(COUNTIF($N$3:N481,"鸡")=0,10^9,LOOKUP(2,1/($N$3:N481="鸡"),ROW($N$3:N481))),IF(COUNTIF($N$3:N481,"狗")=0,10^9,LOOKUP(2,1/($N$3:N481="狗"),ROW($N$3:N481))),IF(COUNTIF($N$3:N481,"猪")=0,10^9,LOOKUP(2,1/($N$3:N481="猪"),ROW($N$3:N481))))-ROW($N$3)+1),""))),0,IF(ISNUMBER(J481),J481+1,1)))</f>
        <v/>
      </c>
      <c r="K482" s="5" t="e">
        <f t="shared" si="48"/>
        <v>#N/A</v>
      </c>
      <c r="M482" s="6" t="str">
        <f t="shared" si="44"/>
        <v/>
      </c>
      <c r="N482" s="2" t="e">
        <f t="shared" si="45"/>
        <v>#N/A</v>
      </c>
      <c r="O482" s="7" t="str">
        <f>IF(M482="","",IF(COUNTIF(M483:$M$1000,M482)&gt;0,"",M482))</f>
        <v/>
      </c>
      <c r="P482" s="8" t="e">
        <f>IF(N482="","",IF(COUNTIF(N483:$N$1000,N482)&gt;0,"",N482))</f>
        <v>#N/A</v>
      </c>
      <c r="Q482" s="21" t="e">
        <f t="shared" si="46"/>
        <v>#NUM!</v>
      </c>
      <c r="R482" s="22" t="e">
        <f t="shared" si="47"/>
        <v>#NUM!</v>
      </c>
      <c r="S482" s="11"/>
      <c r="T482" s="11"/>
      <c r="U482" s="11"/>
      <c r="W482" s="11"/>
      <c r="X482" s="2"/>
      <c r="Y482" s="2"/>
    </row>
    <row r="483" s="1" customFormat="1" spans="1:25">
      <c r="A483" s="2">
        <v>115057118</v>
      </c>
      <c r="B483" s="2"/>
      <c r="C483" s="2"/>
      <c r="D483" s="2"/>
      <c r="E483" s="2"/>
      <c r="F483" s="2"/>
      <c r="G483" s="2"/>
      <c r="H483" s="3"/>
      <c r="I483" s="2" t="e">
        <f t="shared" si="43"/>
        <v>#N/A</v>
      </c>
      <c r="J483" s="4" t="str">
        <f>IF(H483="","",IF(OR(AND(M483&lt;&gt;"",M483=IFERROR(INDEX($M$3:M482,MIN(IF(COUNTIF($M$3:M482,"0")=0,10^9,LOOKUP(2,1/($M$3:M482="0"),ROW($M$3:M482))),IF(COUNTIF($M$3:M482,"1")=0,10^9,LOOKUP(2,1/($M$3:M482="1"),ROW($M$3:M482))),IF(COUNTIF($M$3:M482,"2")=0,10^9,LOOKUP(2,1/($M$3:M482="2"),ROW($M$3:M482))),IF(COUNTIF($M$3:M482,"3")=0,10^9,LOOKUP(2,1/($M$3:M482="3"),ROW($M$3:M482))),IF(COUNTIF($M$3:M482,"4")=0,10^9,LOOKUP(2,1/($M$3:M482="4"),ROW($M$3:M482))),IF(COUNTIF($M$3:M482,"5")=0,10^9,LOOKUP(2,1/($M$3:M482="5"),ROW($M$3:M482))),IF(COUNTIF($M$3:M482,"6")=0,10^9,LOOKUP(2,1/($M$3:M482="6"),ROW($M$3:M482))),IF(COUNTIF($M$3:M482,"7")=0,10^9,LOOKUP(2,1/($M$3:M482="7"),ROW($M$3:M482))),IF(COUNTIF($M$3:M482,"8")=0,10^9,LOOKUP(2,1/($M$3:M482="8"),ROW($M$3:M482))),IF(COUNTIF($M$3:M482,"9")=0,10^9,LOOKUP(2,1/($M$3:M482="9"),ROW($M$3:M482))))-ROW($M$3)+1),"")),AND(N483&lt;&gt;"",N483=IFERROR(INDEX($N$3:N482,MIN(IF(COUNTIF($N$3:N482,"鼠")=0,10^9,LOOKUP(2,1/($N$3:N482="鼠"),ROW($N$3:N482))),IF(COUNTIF($N$3:N482,"牛")=0,10^9,LOOKUP(2,1/($N$3:N482="牛"),ROW($N$3:N482))),IF(COUNTIF($N$3:N482,"虎")=0,10^9,LOOKUP(2,1/($N$3:N482="虎"),ROW($N$3:N482))),IF(COUNTIF($N$3:N482,"兔")=0,10^9,LOOKUP(2,1/($N$3:N482="兔"),ROW($N$3:N482))),IF(COUNTIF($N$3:N482,"龙")=0,10^9,LOOKUP(2,1/($N$3:N482="龙"),ROW($N$3:N482))),IF(COUNTIF($N$3:N482,"蛇")=0,10^9,LOOKUP(2,1/($N$3:N482="蛇"),ROW($N$3:N482))),IF(COUNTIF($N$3:N482,"马")=0,10^9,LOOKUP(2,1/($N$3:N482="马"),ROW($N$3:N482))),IF(COUNTIF($N$3:N482,"羊")=0,10^9,LOOKUP(2,1/($N$3:N482="羊"),ROW($N$3:N482))),IF(COUNTIF($N$3:N482,"猴")=0,10^9,LOOKUP(2,1/($N$3:N482="猴"),ROW($N$3:N482))),IF(COUNTIF($N$3:N482,"鸡")=0,10^9,LOOKUP(2,1/($N$3:N482="鸡"),ROW($N$3:N482))),IF(COUNTIF($N$3:N482,"狗")=0,10^9,LOOKUP(2,1/($N$3:N482="狗"),ROW($N$3:N482))),IF(COUNTIF($N$3:N482,"猪")=0,10^9,LOOKUP(2,1/($N$3:N482="猪"),ROW($N$3:N482))))-ROW($N$3)+1),""))),0,IF(ISNUMBER(J482),J482+1,1)))</f>
        <v/>
      </c>
      <c r="K483" s="5" t="e">
        <f t="shared" si="48"/>
        <v>#N/A</v>
      </c>
      <c r="M483" s="6" t="str">
        <f t="shared" si="44"/>
        <v/>
      </c>
      <c r="N483" s="2" t="e">
        <f t="shared" si="45"/>
        <v>#N/A</v>
      </c>
      <c r="O483" s="7" t="str">
        <f>IF(M483="","",IF(COUNTIF(M484:$M$1000,M483)&gt;0,"",M483))</f>
        <v/>
      </c>
      <c r="P483" s="8" t="e">
        <f>IF(N483="","",IF(COUNTIF(N484:$N$1000,N483)&gt;0,"",N483))</f>
        <v>#N/A</v>
      </c>
      <c r="Q483" s="21" t="e">
        <f t="shared" si="46"/>
        <v>#NUM!</v>
      </c>
      <c r="R483" s="22" t="e">
        <f t="shared" si="47"/>
        <v>#NUM!</v>
      </c>
      <c r="S483" s="11"/>
      <c r="T483" s="11"/>
      <c r="U483" s="11"/>
      <c r="W483" s="11"/>
      <c r="X483" s="2"/>
      <c r="Y483" s="2"/>
    </row>
    <row r="484" s="1" customFormat="1" spans="1:25">
      <c r="A484" s="2">
        <v>115057119</v>
      </c>
      <c r="B484" s="2"/>
      <c r="C484" s="2"/>
      <c r="D484" s="2"/>
      <c r="E484" s="2"/>
      <c r="F484" s="2"/>
      <c r="G484" s="2"/>
      <c r="H484" s="3"/>
      <c r="I484" s="2" t="e">
        <f t="shared" si="43"/>
        <v>#N/A</v>
      </c>
      <c r="J484" s="4" t="str">
        <f>IF(H484="","",IF(OR(AND(M484&lt;&gt;"",M484=IFERROR(INDEX($M$3:M483,MIN(IF(COUNTIF($M$3:M483,"0")=0,10^9,LOOKUP(2,1/($M$3:M483="0"),ROW($M$3:M483))),IF(COUNTIF($M$3:M483,"1")=0,10^9,LOOKUP(2,1/($M$3:M483="1"),ROW($M$3:M483))),IF(COUNTIF($M$3:M483,"2")=0,10^9,LOOKUP(2,1/($M$3:M483="2"),ROW($M$3:M483))),IF(COUNTIF($M$3:M483,"3")=0,10^9,LOOKUP(2,1/($M$3:M483="3"),ROW($M$3:M483))),IF(COUNTIF($M$3:M483,"4")=0,10^9,LOOKUP(2,1/($M$3:M483="4"),ROW($M$3:M483))),IF(COUNTIF($M$3:M483,"5")=0,10^9,LOOKUP(2,1/($M$3:M483="5"),ROW($M$3:M483))),IF(COUNTIF($M$3:M483,"6")=0,10^9,LOOKUP(2,1/($M$3:M483="6"),ROW($M$3:M483))),IF(COUNTIF($M$3:M483,"7")=0,10^9,LOOKUP(2,1/($M$3:M483="7"),ROW($M$3:M483))),IF(COUNTIF($M$3:M483,"8")=0,10^9,LOOKUP(2,1/($M$3:M483="8"),ROW($M$3:M483))),IF(COUNTIF($M$3:M483,"9")=0,10^9,LOOKUP(2,1/($M$3:M483="9"),ROW($M$3:M483))))-ROW($M$3)+1),"")),AND(N484&lt;&gt;"",N484=IFERROR(INDEX($N$3:N483,MIN(IF(COUNTIF($N$3:N483,"鼠")=0,10^9,LOOKUP(2,1/($N$3:N483="鼠"),ROW($N$3:N483))),IF(COUNTIF($N$3:N483,"牛")=0,10^9,LOOKUP(2,1/($N$3:N483="牛"),ROW($N$3:N483))),IF(COUNTIF($N$3:N483,"虎")=0,10^9,LOOKUP(2,1/($N$3:N483="虎"),ROW($N$3:N483))),IF(COUNTIF($N$3:N483,"兔")=0,10^9,LOOKUP(2,1/($N$3:N483="兔"),ROW($N$3:N483))),IF(COUNTIF($N$3:N483,"龙")=0,10^9,LOOKUP(2,1/($N$3:N483="龙"),ROW($N$3:N483))),IF(COUNTIF($N$3:N483,"蛇")=0,10^9,LOOKUP(2,1/($N$3:N483="蛇"),ROW($N$3:N483))),IF(COUNTIF($N$3:N483,"马")=0,10^9,LOOKUP(2,1/($N$3:N483="马"),ROW($N$3:N483))),IF(COUNTIF($N$3:N483,"羊")=0,10^9,LOOKUP(2,1/($N$3:N483="羊"),ROW($N$3:N483))),IF(COUNTIF($N$3:N483,"猴")=0,10^9,LOOKUP(2,1/($N$3:N483="猴"),ROW($N$3:N483))),IF(COUNTIF($N$3:N483,"鸡")=0,10^9,LOOKUP(2,1/($N$3:N483="鸡"),ROW($N$3:N483))),IF(COUNTIF($N$3:N483,"狗")=0,10^9,LOOKUP(2,1/($N$3:N483="狗"),ROW($N$3:N483))),IF(COUNTIF($N$3:N483,"猪")=0,10^9,LOOKUP(2,1/($N$3:N483="猪"),ROW($N$3:N483))))-ROW($N$3)+1),""))),0,IF(ISNUMBER(J483),J483+1,1)))</f>
        <v/>
      </c>
      <c r="K484" s="5" t="e">
        <f t="shared" si="48"/>
        <v>#N/A</v>
      </c>
      <c r="M484" s="6" t="str">
        <f t="shared" si="44"/>
        <v/>
      </c>
      <c r="N484" s="2" t="e">
        <f t="shared" si="45"/>
        <v>#N/A</v>
      </c>
      <c r="O484" s="7" t="str">
        <f>IF(M484="","",IF(COUNTIF(M485:$M$1000,M484)&gt;0,"",M484))</f>
        <v/>
      </c>
      <c r="P484" s="8" t="e">
        <f>IF(N484="","",IF(COUNTIF(N485:$N$1000,N484)&gt;0,"",N484))</f>
        <v>#N/A</v>
      </c>
      <c r="Q484" s="21" t="e">
        <f t="shared" si="46"/>
        <v>#NUM!</v>
      </c>
      <c r="R484" s="22" t="e">
        <f t="shared" si="47"/>
        <v>#NUM!</v>
      </c>
      <c r="S484" s="11"/>
      <c r="T484" s="11"/>
      <c r="U484" s="11"/>
      <c r="W484" s="11"/>
      <c r="X484" s="2"/>
      <c r="Y484" s="2"/>
    </row>
    <row r="485" s="1" customFormat="1" spans="1:25">
      <c r="A485" s="2">
        <v>115057120</v>
      </c>
      <c r="B485" s="2"/>
      <c r="C485" s="2"/>
      <c r="D485" s="2"/>
      <c r="E485" s="2"/>
      <c r="F485" s="2"/>
      <c r="G485" s="2"/>
      <c r="H485" s="3"/>
      <c r="I485" s="2" t="e">
        <f t="shared" si="43"/>
        <v>#N/A</v>
      </c>
      <c r="J485" s="4" t="str">
        <f>IF(H485="","",IF(OR(AND(M485&lt;&gt;"",M485=IFERROR(INDEX($M$3:M484,MIN(IF(COUNTIF($M$3:M484,"0")=0,10^9,LOOKUP(2,1/($M$3:M484="0"),ROW($M$3:M484))),IF(COUNTIF($M$3:M484,"1")=0,10^9,LOOKUP(2,1/($M$3:M484="1"),ROW($M$3:M484))),IF(COUNTIF($M$3:M484,"2")=0,10^9,LOOKUP(2,1/($M$3:M484="2"),ROW($M$3:M484))),IF(COUNTIF($M$3:M484,"3")=0,10^9,LOOKUP(2,1/($M$3:M484="3"),ROW($M$3:M484))),IF(COUNTIF($M$3:M484,"4")=0,10^9,LOOKUP(2,1/($M$3:M484="4"),ROW($M$3:M484))),IF(COUNTIF($M$3:M484,"5")=0,10^9,LOOKUP(2,1/($M$3:M484="5"),ROW($M$3:M484))),IF(COUNTIF($M$3:M484,"6")=0,10^9,LOOKUP(2,1/($M$3:M484="6"),ROW($M$3:M484))),IF(COUNTIF($M$3:M484,"7")=0,10^9,LOOKUP(2,1/($M$3:M484="7"),ROW($M$3:M484))),IF(COUNTIF($M$3:M484,"8")=0,10^9,LOOKUP(2,1/($M$3:M484="8"),ROW($M$3:M484))),IF(COUNTIF($M$3:M484,"9")=0,10^9,LOOKUP(2,1/($M$3:M484="9"),ROW($M$3:M484))))-ROW($M$3)+1),"")),AND(N485&lt;&gt;"",N485=IFERROR(INDEX($N$3:N484,MIN(IF(COUNTIF($N$3:N484,"鼠")=0,10^9,LOOKUP(2,1/($N$3:N484="鼠"),ROW($N$3:N484))),IF(COUNTIF($N$3:N484,"牛")=0,10^9,LOOKUP(2,1/($N$3:N484="牛"),ROW($N$3:N484))),IF(COUNTIF($N$3:N484,"虎")=0,10^9,LOOKUP(2,1/($N$3:N484="虎"),ROW($N$3:N484))),IF(COUNTIF($N$3:N484,"兔")=0,10^9,LOOKUP(2,1/($N$3:N484="兔"),ROW($N$3:N484))),IF(COUNTIF($N$3:N484,"龙")=0,10^9,LOOKUP(2,1/($N$3:N484="龙"),ROW($N$3:N484))),IF(COUNTIF($N$3:N484,"蛇")=0,10^9,LOOKUP(2,1/($N$3:N484="蛇"),ROW($N$3:N484))),IF(COUNTIF($N$3:N484,"马")=0,10^9,LOOKUP(2,1/($N$3:N484="马"),ROW($N$3:N484))),IF(COUNTIF($N$3:N484,"羊")=0,10^9,LOOKUP(2,1/($N$3:N484="羊"),ROW($N$3:N484))),IF(COUNTIF($N$3:N484,"猴")=0,10^9,LOOKUP(2,1/($N$3:N484="猴"),ROW($N$3:N484))),IF(COUNTIF($N$3:N484,"鸡")=0,10^9,LOOKUP(2,1/($N$3:N484="鸡"),ROW($N$3:N484))),IF(COUNTIF($N$3:N484,"狗")=0,10^9,LOOKUP(2,1/($N$3:N484="狗"),ROW($N$3:N484))),IF(COUNTIF($N$3:N484,"猪")=0,10^9,LOOKUP(2,1/($N$3:N484="猪"),ROW($N$3:N484))))-ROW($N$3)+1),""))),0,IF(ISNUMBER(J484),J484+1,1)))</f>
        <v/>
      </c>
      <c r="K485" s="5" t="e">
        <f t="shared" si="48"/>
        <v>#N/A</v>
      </c>
      <c r="M485" s="6" t="str">
        <f t="shared" si="44"/>
        <v/>
      </c>
      <c r="N485" s="2" t="e">
        <f t="shared" si="45"/>
        <v>#N/A</v>
      </c>
      <c r="O485" s="7" t="str">
        <f>IF(M485="","",IF(COUNTIF(M486:$M$1000,M485)&gt;0,"",M485))</f>
        <v/>
      </c>
      <c r="P485" s="8" t="e">
        <f>IF(N485="","",IF(COUNTIF(N486:$N$1000,N485)&gt;0,"",N485))</f>
        <v>#N/A</v>
      </c>
      <c r="Q485" s="21" t="e">
        <f t="shared" si="46"/>
        <v>#NUM!</v>
      </c>
      <c r="R485" s="22" t="e">
        <f t="shared" si="47"/>
        <v>#NUM!</v>
      </c>
      <c r="S485" s="11"/>
      <c r="T485" s="11"/>
      <c r="U485" s="11"/>
      <c r="W485" s="11"/>
      <c r="X485" s="2"/>
      <c r="Y485" s="2"/>
    </row>
    <row r="486" s="1" customFormat="1" spans="1:25">
      <c r="A486" s="2">
        <v>115057121</v>
      </c>
      <c r="B486" s="2"/>
      <c r="C486" s="2"/>
      <c r="D486" s="2"/>
      <c r="E486" s="2"/>
      <c r="F486" s="2"/>
      <c r="G486" s="2"/>
      <c r="H486" s="3"/>
      <c r="I486" s="2" t="e">
        <f t="shared" si="43"/>
        <v>#N/A</v>
      </c>
      <c r="J486" s="4" t="str">
        <f>IF(H486="","",IF(OR(AND(M486&lt;&gt;"",M486=IFERROR(INDEX($M$3:M485,MIN(IF(COUNTIF($M$3:M485,"0")=0,10^9,LOOKUP(2,1/($M$3:M485="0"),ROW($M$3:M485))),IF(COUNTIF($M$3:M485,"1")=0,10^9,LOOKUP(2,1/($M$3:M485="1"),ROW($M$3:M485))),IF(COUNTIF($M$3:M485,"2")=0,10^9,LOOKUP(2,1/($M$3:M485="2"),ROW($M$3:M485))),IF(COUNTIF($M$3:M485,"3")=0,10^9,LOOKUP(2,1/($M$3:M485="3"),ROW($M$3:M485))),IF(COUNTIF($M$3:M485,"4")=0,10^9,LOOKUP(2,1/($M$3:M485="4"),ROW($M$3:M485))),IF(COUNTIF($M$3:M485,"5")=0,10^9,LOOKUP(2,1/($M$3:M485="5"),ROW($M$3:M485))),IF(COUNTIF($M$3:M485,"6")=0,10^9,LOOKUP(2,1/($M$3:M485="6"),ROW($M$3:M485))),IF(COUNTIF($M$3:M485,"7")=0,10^9,LOOKUP(2,1/($M$3:M485="7"),ROW($M$3:M485))),IF(COUNTIF($M$3:M485,"8")=0,10^9,LOOKUP(2,1/($M$3:M485="8"),ROW($M$3:M485))),IF(COUNTIF($M$3:M485,"9")=0,10^9,LOOKUP(2,1/($M$3:M485="9"),ROW($M$3:M485))))-ROW($M$3)+1),"")),AND(N486&lt;&gt;"",N486=IFERROR(INDEX($N$3:N485,MIN(IF(COUNTIF($N$3:N485,"鼠")=0,10^9,LOOKUP(2,1/($N$3:N485="鼠"),ROW($N$3:N485))),IF(COUNTIF($N$3:N485,"牛")=0,10^9,LOOKUP(2,1/($N$3:N485="牛"),ROW($N$3:N485))),IF(COUNTIF($N$3:N485,"虎")=0,10^9,LOOKUP(2,1/($N$3:N485="虎"),ROW($N$3:N485))),IF(COUNTIF($N$3:N485,"兔")=0,10^9,LOOKUP(2,1/($N$3:N485="兔"),ROW($N$3:N485))),IF(COUNTIF($N$3:N485,"龙")=0,10^9,LOOKUP(2,1/($N$3:N485="龙"),ROW($N$3:N485))),IF(COUNTIF($N$3:N485,"蛇")=0,10^9,LOOKUP(2,1/($N$3:N485="蛇"),ROW($N$3:N485))),IF(COUNTIF($N$3:N485,"马")=0,10^9,LOOKUP(2,1/($N$3:N485="马"),ROW($N$3:N485))),IF(COUNTIF($N$3:N485,"羊")=0,10^9,LOOKUP(2,1/($N$3:N485="羊"),ROW($N$3:N485))),IF(COUNTIF($N$3:N485,"猴")=0,10^9,LOOKUP(2,1/($N$3:N485="猴"),ROW($N$3:N485))),IF(COUNTIF($N$3:N485,"鸡")=0,10^9,LOOKUP(2,1/($N$3:N485="鸡"),ROW($N$3:N485))),IF(COUNTIF($N$3:N485,"狗")=0,10^9,LOOKUP(2,1/($N$3:N485="狗"),ROW($N$3:N485))),IF(COUNTIF($N$3:N485,"猪")=0,10^9,LOOKUP(2,1/($N$3:N485="猪"),ROW($N$3:N485))))-ROW($N$3)+1),""))),0,IF(ISNUMBER(J485),J485+1,1)))</f>
        <v/>
      </c>
      <c r="K486" s="5" t="e">
        <f t="shared" si="48"/>
        <v>#N/A</v>
      </c>
      <c r="M486" s="6" t="str">
        <f t="shared" si="44"/>
        <v/>
      </c>
      <c r="N486" s="2" t="e">
        <f t="shared" si="45"/>
        <v>#N/A</v>
      </c>
      <c r="O486" s="7" t="str">
        <f>IF(M486="","",IF(COUNTIF(M487:$M$1000,M486)&gt;0,"",M486))</f>
        <v/>
      </c>
      <c r="P486" s="8" t="e">
        <f>IF(N486="","",IF(COUNTIF(N487:$N$1000,N486)&gt;0,"",N486))</f>
        <v>#N/A</v>
      </c>
      <c r="Q486" s="21" t="e">
        <f t="shared" si="46"/>
        <v>#NUM!</v>
      </c>
      <c r="R486" s="22" t="e">
        <f t="shared" si="47"/>
        <v>#NUM!</v>
      </c>
      <c r="S486" s="11"/>
      <c r="T486" s="11"/>
      <c r="U486" s="11"/>
      <c r="W486" s="11"/>
      <c r="X486" s="2"/>
      <c r="Y486" s="2"/>
    </row>
    <row r="487" s="1" customFormat="1" spans="1:25">
      <c r="A487" s="2">
        <v>115057122</v>
      </c>
      <c r="B487" s="2"/>
      <c r="C487" s="2"/>
      <c r="D487" s="2"/>
      <c r="E487" s="2"/>
      <c r="F487" s="2"/>
      <c r="G487" s="2"/>
      <c r="H487" s="3"/>
      <c r="I487" s="2" t="e">
        <f t="shared" si="43"/>
        <v>#N/A</v>
      </c>
      <c r="J487" s="4" t="str">
        <f>IF(H487="","",IF(OR(AND(M487&lt;&gt;"",M487=IFERROR(INDEX($M$3:M486,MIN(IF(COUNTIF($M$3:M486,"0")=0,10^9,LOOKUP(2,1/($M$3:M486="0"),ROW($M$3:M486))),IF(COUNTIF($M$3:M486,"1")=0,10^9,LOOKUP(2,1/($M$3:M486="1"),ROW($M$3:M486))),IF(COUNTIF($M$3:M486,"2")=0,10^9,LOOKUP(2,1/($M$3:M486="2"),ROW($M$3:M486))),IF(COUNTIF($M$3:M486,"3")=0,10^9,LOOKUP(2,1/($M$3:M486="3"),ROW($M$3:M486))),IF(COUNTIF($M$3:M486,"4")=0,10^9,LOOKUP(2,1/($M$3:M486="4"),ROW($M$3:M486))),IF(COUNTIF($M$3:M486,"5")=0,10^9,LOOKUP(2,1/($M$3:M486="5"),ROW($M$3:M486))),IF(COUNTIF($M$3:M486,"6")=0,10^9,LOOKUP(2,1/($M$3:M486="6"),ROW($M$3:M486))),IF(COUNTIF($M$3:M486,"7")=0,10^9,LOOKUP(2,1/($M$3:M486="7"),ROW($M$3:M486))),IF(COUNTIF($M$3:M486,"8")=0,10^9,LOOKUP(2,1/($M$3:M486="8"),ROW($M$3:M486))),IF(COUNTIF($M$3:M486,"9")=0,10^9,LOOKUP(2,1/($M$3:M486="9"),ROW($M$3:M486))))-ROW($M$3)+1),"")),AND(N487&lt;&gt;"",N487=IFERROR(INDEX($N$3:N486,MIN(IF(COUNTIF($N$3:N486,"鼠")=0,10^9,LOOKUP(2,1/($N$3:N486="鼠"),ROW($N$3:N486))),IF(COUNTIF($N$3:N486,"牛")=0,10^9,LOOKUP(2,1/($N$3:N486="牛"),ROW($N$3:N486))),IF(COUNTIF($N$3:N486,"虎")=0,10^9,LOOKUP(2,1/($N$3:N486="虎"),ROW($N$3:N486))),IF(COUNTIF($N$3:N486,"兔")=0,10^9,LOOKUP(2,1/($N$3:N486="兔"),ROW($N$3:N486))),IF(COUNTIF($N$3:N486,"龙")=0,10^9,LOOKUP(2,1/($N$3:N486="龙"),ROW($N$3:N486))),IF(COUNTIF($N$3:N486,"蛇")=0,10^9,LOOKUP(2,1/($N$3:N486="蛇"),ROW($N$3:N486))),IF(COUNTIF($N$3:N486,"马")=0,10^9,LOOKUP(2,1/($N$3:N486="马"),ROW($N$3:N486))),IF(COUNTIF($N$3:N486,"羊")=0,10^9,LOOKUP(2,1/($N$3:N486="羊"),ROW($N$3:N486))),IF(COUNTIF($N$3:N486,"猴")=0,10^9,LOOKUP(2,1/($N$3:N486="猴"),ROW($N$3:N486))),IF(COUNTIF($N$3:N486,"鸡")=0,10^9,LOOKUP(2,1/($N$3:N486="鸡"),ROW($N$3:N486))),IF(COUNTIF($N$3:N486,"狗")=0,10^9,LOOKUP(2,1/($N$3:N486="狗"),ROW($N$3:N486))),IF(COUNTIF($N$3:N486,"猪")=0,10^9,LOOKUP(2,1/($N$3:N486="猪"),ROW($N$3:N486))))-ROW($N$3)+1),""))),0,IF(ISNUMBER(J486),J486+1,1)))</f>
        <v/>
      </c>
      <c r="K487" s="5" t="e">
        <f t="shared" si="48"/>
        <v>#N/A</v>
      </c>
      <c r="M487" s="6" t="str">
        <f t="shared" si="44"/>
        <v/>
      </c>
      <c r="N487" s="2" t="e">
        <f t="shared" si="45"/>
        <v>#N/A</v>
      </c>
      <c r="O487" s="7" t="str">
        <f>IF(M487="","",IF(COUNTIF(M488:$M$1000,M487)&gt;0,"",M487))</f>
        <v/>
      </c>
      <c r="P487" s="8" t="e">
        <f>IF(N487="","",IF(COUNTIF(N488:$N$1000,N487)&gt;0,"",N487))</f>
        <v>#N/A</v>
      </c>
      <c r="Q487" s="21" t="e">
        <f t="shared" si="46"/>
        <v>#NUM!</v>
      </c>
      <c r="R487" s="22" t="e">
        <f t="shared" si="47"/>
        <v>#NUM!</v>
      </c>
      <c r="S487" s="11"/>
      <c r="T487" s="11"/>
      <c r="U487" s="11"/>
      <c r="W487" s="11"/>
      <c r="X487" s="2"/>
      <c r="Y487" s="2"/>
    </row>
    <row r="488" s="1" customFormat="1" spans="1:25">
      <c r="A488" s="2">
        <v>115057123</v>
      </c>
      <c r="B488" s="2"/>
      <c r="C488" s="2"/>
      <c r="D488" s="2"/>
      <c r="E488" s="2"/>
      <c r="F488" s="2"/>
      <c r="G488" s="2"/>
      <c r="H488" s="3"/>
      <c r="I488" s="2" t="e">
        <f t="shared" si="43"/>
        <v>#N/A</v>
      </c>
      <c r="J488" s="4" t="str">
        <f>IF(H488="","",IF(OR(AND(M488&lt;&gt;"",M488=IFERROR(INDEX($M$3:M487,MIN(IF(COUNTIF($M$3:M487,"0")=0,10^9,LOOKUP(2,1/($M$3:M487="0"),ROW($M$3:M487))),IF(COUNTIF($M$3:M487,"1")=0,10^9,LOOKUP(2,1/($M$3:M487="1"),ROW($M$3:M487))),IF(COUNTIF($M$3:M487,"2")=0,10^9,LOOKUP(2,1/($M$3:M487="2"),ROW($M$3:M487))),IF(COUNTIF($M$3:M487,"3")=0,10^9,LOOKUP(2,1/($M$3:M487="3"),ROW($M$3:M487))),IF(COUNTIF($M$3:M487,"4")=0,10^9,LOOKUP(2,1/($M$3:M487="4"),ROW($M$3:M487))),IF(COUNTIF($M$3:M487,"5")=0,10^9,LOOKUP(2,1/($M$3:M487="5"),ROW($M$3:M487))),IF(COUNTIF($M$3:M487,"6")=0,10^9,LOOKUP(2,1/($M$3:M487="6"),ROW($M$3:M487))),IF(COUNTIF($M$3:M487,"7")=0,10^9,LOOKUP(2,1/($M$3:M487="7"),ROW($M$3:M487))),IF(COUNTIF($M$3:M487,"8")=0,10^9,LOOKUP(2,1/($M$3:M487="8"),ROW($M$3:M487))),IF(COUNTIF($M$3:M487,"9")=0,10^9,LOOKUP(2,1/($M$3:M487="9"),ROW($M$3:M487))))-ROW($M$3)+1),"")),AND(N488&lt;&gt;"",N488=IFERROR(INDEX($N$3:N487,MIN(IF(COUNTIF($N$3:N487,"鼠")=0,10^9,LOOKUP(2,1/($N$3:N487="鼠"),ROW($N$3:N487))),IF(COUNTIF($N$3:N487,"牛")=0,10^9,LOOKUP(2,1/($N$3:N487="牛"),ROW($N$3:N487))),IF(COUNTIF($N$3:N487,"虎")=0,10^9,LOOKUP(2,1/($N$3:N487="虎"),ROW($N$3:N487))),IF(COUNTIF($N$3:N487,"兔")=0,10^9,LOOKUP(2,1/($N$3:N487="兔"),ROW($N$3:N487))),IF(COUNTIF($N$3:N487,"龙")=0,10^9,LOOKUP(2,1/($N$3:N487="龙"),ROW($N$3:N487))),IF(COUNTIF($N$3:N487,"蛇")=0,10^9,LOOKUP(2,1/($N$3:N487="蛇"),ROW($N$3:N487))),IF(COUNTIF($N$3:N487,"马")=0,10^9,LOOKUP(2,1/($N$3:N487="马"),ROW($N$3:N487))),IF(COUNTIF($N$3:N487,"羊")=0,10^9,LOOKUP(2,1/($N$3:N487="羊"),ROW($N$3:N487))),IF(COUNTIF($N$3:N487,"猴")=0,10^9,LOOKUP(2,1/($N$3:N487="猴"),ROW($N$3:N487))),IF(COUNTIF($N$3:N487,"鸡")=0,10^9,LOOKUP(2,1/($N$3:N487="鸡"),ROW($N$3:N487))),IF(COUNTIF($N$3:N487,"狗")=0,10^9,LOOKUP(2,1/($N$3:N487="狗"),ROW($N$3:N487))),IF(COUNTIF($N$3:N487,"猪")=0,10^9,LOOKUP(2,1/($N$3:N487="猪"),ROW($N$3:N487))))-ROW($N$3)+1),""))),0,IF(ISNUMBER(J487),J487+1,1)))</f>
        <v/>
      </c>
      <c r="K488" s="5" t="e">
        <f t="shared" si="48"/>
        <v>#N/A</v>
      </c>
      <c r="M488" s="6" t="str">
        <f t="shared" si="44"/>
        <v/>
      </c>
      <c r="N488" s="2" t="e">
        <f t="shared" si="45"/>
        <v>#N/A</v>
      </c>
      <c r="O488" s="7" t="str">
        <f>IF(M488="","",IF(COUNTIF(M489:$M$1000,M488)&gt;0,"",M488))</f>
        <v/>
      </c>
      <c r="P488" s="8" t="e">
        <f>IF(N488="","",IF(COUNTIF(N489:$N$1000,N488)&gt;0,"",N488))</f>
        <v>#N/A</v>
      </c>
      <c r="Q488" s="21" t="e">
        <f t="shared" si="46"/>
        <v>#NUM!</v>
      </c>
      <c r="R488" s="22" t="e">
        <f t="shared" si="47"/>
        <v>#NUM!</v>
      </c>
      <c r="S488" s="11"/>
      <c r="T488" s="11"/>
      <c r="U488" s="11"/>
      <c r="W488" s="11"/>
      <c r="X488" s="2"/>
      <c r="Y488" s="2"/>
    </row>
    <row r="489" s="1" customFormat="1" spans="1:25">
      <c r="A489" s="2">
        <v>115057124</v>
      </c>
      <c r="B489" s="2"/>
      <c r="C489" s="2"/>
      <c r="D489" s="2"/>
      <c r="E489" s="2"/>
      <c r="F489" s="2"/>
      <c r="G489" s="2"/>
      <c r="H489" s="3"/>
      <c r="I489" s="2" t="e">
        <f t="shared" si="43"/>
        <v>#N/A</v>
      </c>
      <c r="J489" s="4" t="str">
        <f>IF(H489="","",IF(OR(AND(M489&lt;&gt;"",M489=IFERROR(INDEX($M$3:M488,MIN(IF(COUNTIF($M$3:M488,"0")=0,10^9,LOOKUP(2,1/($M$3:M488="0"),ROW($M$3:M488))),IF(COUNTIF($M$3:M488,"1")=0,10^9,LOOKUP(2,1/($M$3:M488="1"),ROW($M$3:M488))),IF(COUNTIF($M$3:M488,"2")=0,10^9,LOOKUP(2,1/($M$3:M488="2"),ROW($M$3:M488))),IF(COUNTIF($M$3:M488,"3")=0,10^9,LOOKUP(2,1/($M$3:M488="3"),ROW($M$3:M488))),IF(COUNTIF($M$3:M488,"4")=0,10^9,LOOKUP(2,1/($M$3:M488="4"),ROW($M$3:M488))),IF(COUNTIF($M$3:M488,"5")=0,10^9,LOOKUP(2,1/($M$3:M488="5"),ROW($M$3:M488))),IF(COUNTIF($M$3:M488,"6")=0,10^9,LOOKUP(2,1/($M$3:M488="6"),ROW($M$3:M488))),IF(COUNTIF($M$3:M488,"7")=0,10^9,LOOKUP(2,1/($M$3:M488="7"),ROW($M$3:M488))),IF(COUNTIF($M$3:M488,"8")=0,10^9,LOOKUP(2,1/($M$3:M488="8"),ROW($M$3:M488))),IF(COUNTIF($M$3:M488,"9")=0,10^9,LOOKUP(2,1/($M$3:M488="9"),ROW($M$3:M488))))-ROW($M$3)+1),"")),AND(N489&lt;&gt;"",N489=IFERROR(INDEX($N$3:N488,MIN(IF(COUNTIF($N$3:N488,"鼠")=0,10^9,LOOKUP(2,1/($N$3:N488="鼠"),ROW($N$3:N488))),IF(COUNTIF($N$3:N488,"牛")=0,10^9,LOOKUP(2,1/($N$3:N488="牛"),ROW($N$3:N488))),IF(COUNTIF($N$3:N488,"虎")=0,10^9,LOOKUP(2,1/($N$3:N488="虎"),ROW($N$3:N488))),IF(COUNTIF($N$3:N488,"兔")=0,10^9,LOOKUP(2,1/($N$3:N488="兔"),ROW($N$3:N488))),IF(COUNTIF($N$3:N488,"龙")=0,10^9,LOOKUP(2,1/($N$3:N488="龙"),ROW($N$3:N488))),IF(COUNTIF($N$3:N488,"蛇")=0,10^9,LOOKUP(2,1/($N$3:N488="蛇"),ROW($N$3:N488))),IF(COUNTIF($N$3:N488,"马")=0,10^9,LOOKUP(2,1/($N$3:N488="马"),ROW($N$3:N488))),IF(COUNTIF($N$3:N488,"羊")=0,10^9,LOOKUP(2,1/($N$3:N488="羊"),ROW($N$3:N488))),IF(COUNTIF($N$3:N488,"猴")=0,10^9,LOOKUP(2,1/($N$3:N488="猴"),ROW($N$3:N488))),IF(COUNTIF($N$3:N488,"鸡")=0,10^9,LOOKUP(2,1/($N$3:N488="鸡"),ROW($N$3:N488))),IF(COUNTIF($N$3:N488,"狗")=0,10^9,LOOKUP(2,1/($N$3:N488="狗"),ROW($N$3:N488))),IF(COUNTIF($N$3:N488,"猪")=0,10^9,LOOKUP(2,1/($N$3:N488="猪"),ROW($N$3:N488))))-ROW($N$3)+1),""))),0,IF(ISNUMBER(J488),J488+1,1)))</f>
        <v/>
      </c>
      <c r="K489" s="5" t="e">
        <f t="shared" si="48"/>
        <v>#N/A</v>
      </c>
      <c r="M489" s="6" t="str">
        <f t="shared" si="44"/>
        <v/>
      </c>
      <c r="N489" s="2" t="e">
        <f t="shared" si="45"/>
        <v>#N/A</v>
      </c>
      <c r="O489" s="7" t="str">
        <f>IF(M489="","",IF(COUNTIF(M490:$M$1000,M489)&gt;0,"",M489))</f>
        <v/>
      </c>
      <c r="P489" s="8" t="e">
        <f>IF(N489="","",IF(COUNTIF(N490:$N$1000,N489)&gt;0,"",N489))</f>
        <v>#N/A</v>
      </c>
      <c r="Q489" s="21" t="e">
        <f t="shared" si="46"/>
        <v>#NUM!</v>
      </c>
      <c r="R489" s="22" t="e">
        <f t="shared" si="47"/>
        <v>#NUM!</v>
      </c>
      <c r="S489" s="11"/>
      <c r="T489" s="11"/>
      <c r="U489" s="11"/>
      <c r="W489" s="11"/>
      <c r="X489" s="2"/>
      <c r="Y489" s="2"/>
    </row>
    <row r="490" s="1" customFormat="1" spans="1:25">
      <c r="A490" s="2">
        <v>115057125</v>
      </c>
      <c r="B490" s="2"/>
      <c r="C490" s="2"/>
      <c r="D490" s="2"/>
      <c r="E490" s="2"/>
      <c r="F490" s="2"/>
      <c r="G490" s="2"/>
      <c r="H490" s="3"/>
      <c r="I490" s="2" t="e">
        <f t="shared" si="43"/>
        <v>#N/A</v>
      </c>
      <c r="J490" s="4" t="str">
        <f>IF(H490="","",IF(OR(AND(M490&lt;&gt;"",M490=IFERROR(INDEX($M$3:M489,MIN(IF(COUNTIF($M$3:M489,"0")=0,10^9,LOOKUP(2,1/($M$3:M489="0"),ROW($M$3:M489))),IF(COUNTIF($M$3:M489,"1")=0,10^9,LOOKUP(2,1/($M$3:M489="1"),ROW($M$3:M489))),IF(COUNTIF($M$3:M489,"2")=0,10^9,LOOKUP(2,1/($M$3:M489="2"),ROW($M$3:M489))),IF(COUNTIF($M$3:M489,"3")=0,10^9,LOOKUP(2,1/($M$3:M489="3"),ROW($M$3:M489))),IF(COUNTIF($M$3:M489,"4")=0,10^9,LOOKUP(2,1/($M$3:M489="4"),ROW($M$3:M489))),IF(COUNTIF($M$3:M489,"5")=0,10^9,LOOKUP(2,1/($M$3:M489="5"),ROW($M$3:M489))),IF(COUNTIF($M$3:M489,"6")=0,10^9,LOOKUP(2,1/($M$3:M489="6"),ROW($M$3:M489))),IF(COUNTIF($M$3:M489,"7")=0,10^9,LOOKUP(2,1/($M$3:M489="7"),ROW($M$3:M489))),IF(COUNTIF($M$3:M489,"8")=0,10^9,LOOKUP(2,1/($M$3:M489="8"),ROW($M$3:M489))),IF(COUNTIF($M$3:M489,"9")=0,10^9,LOOKUP(2,1/($M$3:M489="9"),ROW($M$3:M489))))-ROW($M$3)+1),"")),AND(N490&lt;&gt;"",N490=IFERROR(INDEX($N$3:N489,MIN(IF(COUNTIF($N$3:N489,"鼠")=0,10^9,LOOKUP(2,1/($N$3:N489="鼠"),ROW($N$3:N489))),IF(COUNTIF($N$3:N489,"牛")=0,10^9,LOOKUP(2,1/($N$3:N489="牛"),ROW($N$3:N489))),IF(COUNTIF($N$3:N489,"虎")=0,10^9,LOOKUP(2,1/($N$3:N489="虎"),ROW($N$3:N489))),IF(COUNTIF($N$3:N489,"兔")=0,10^9,LOOKUP(2,1/($N$3:N489="兔"),ROW($N$3:N489))),IF(COUNTIF($N$3:N489,"龙")=0,10^9,LOOKUP(2,1/($N$3:N489="龙"),ROW($N$3:N489))),IF(COUNTIF($N$3:N489,"蛇")=0,10^9,LOOKUP(2,1/($N$3:N489="蛇"),ROW($N$3:N489))),IF(COUNTIF($N$3:N489,"马")=0,10^9,LOOKUP(2,1/($N$3:N489="马"),ROW($N$3:N489))),IF(COUNTIF($N$3:N489,"羊")=0,10^9,LOOKUP(2,1/($N$3:N489="羊"),ROW($N$3:N489))),IF(COUNTIF($N$3:N489,"猴")=0,10^9,LOOKUP(2,1/($N$3:N489="猴"),ROW($N$3:N489))),IF(COUNTIF($N$3:N489,"鸡")=0,10^9,LOOKUP(2,1/($N$3:N489="鸡"),ROW($N$3:N489))),IF(COUNTIF($N$3:N489,"狗")=0,10^9,LOOKUP(2,1/($N$3:N489="狗"),ROW($N$3:N489))),IF(COUNTIF($N$3:N489,"猪")=0,10^9,LOOKUP(2,1/($N$3:N489="猪"),ROW($N$3:N489))))-ROW($N$3)+1),""))),0,IF(ISNUMBER(J489),J489+1,1)))</f>
        <v/>
      </c>
      <c r="K490" s="5" t="e">
        <f t="shared" si="48"/>
        <v>#N/A</v>
      </c>
      <c r="M490" s="6" t="str">
        <f t="shared" si="44"/>
        <v/>
      </c>
      <c r="N490" s="2" t="e">
        <f t="shared" si="45"/>
        <v>#N/A</v>
      </c>
      <c r="O490" s="7" t="str">
        <f>IF(M490="","",IF(COUNTIF(M491:$M$1000,M490)&gt;0,"",M490))</f>
        <v/>
      </c>
      <c r="P490" s="8" t="e">
        <f>IF(N490="","",IF(COUNTIF(N491:$N$1000,N490)&gt;0,"",N490))</f>
        <v>#N/A</v>
      </c>
      <c r="Q490" s="21" t="e">
        <f t="shared" si="46"/>
        <v>#NUM!</v>
      </c>
      <c r="R490" s="22" t="e">
        <f t="shared" si="47"/>
        <v>#NUM!</v>
      </c>
      <c r="S490" s="11"/>
      <c r="T490" s="11"/>
      <c r="U490" s="11"/>
      <c r="W490" s="11"/>
      <c r="X490" s="2"/>
      <c r="Y490" s="2"/>
    </row>
    <row r="491" s="1" customFormat="1" spans="1:25">
      <c r="A491" s="2">
        <v>115057126</v>
      </c>
      <c r="B491" s="2"/>
      <c r="C491" s="2"/>
      <c r="D491" s="2"/>
      <c r="E491" s="2"/>
      <c r="F491" s="2"/>
      <c r="G491" s="2"/>
      <c r="H491" s="3"/>
      <c r="I491" s="2" t="e">
        <f t="shared" si="43"/>
        <v>#N/A</v>
      </c>
      <c r="J491" s="4" t="str">
        <f>IF(H491="","",IF(OR(AND(M491&lt;&gt;"",M491=IFERROR(INDEX($M$3:M490,MIN(IF(COUNTIF($M$3:M490,"0")=0,10^9,LOOKUP(2,1/($M$3:M490="0"),ROW($M$3:M490))),IF(COUNTIF($M$3:M490,"1")=0,10^9,LOOKUP(2,1/($M$3:M490="1"),ROW($M$3:M490))),IF(COUNTIF($M$3:M490,"2")=0,10^9,LOOKUP(2,1/($M$3:M490="2"),ROW($M$3:M490))),IF(COUNTIF($M$3:M490,"3")=0,10^9,LOOKUP(2,1/($M$3:M490="3"),ROW($M$3:M490))),IF(COUNTIF($M$3:M490,"4")=0,10^9,LOOKUP(2,1/($M$3:M490="4"),ROW($M$3:M490))),IF(COUNTIF($M$3:M490,"5")=0,10^9,LOOKUP(2,1/($M$3:M490="5"),ROW($M$3:M490))),IF(COUNTIF($M$3:M490,"6")=0,10^9,LOOKUP(2,1/($M$3:M490="6"),ROW($M$3:M490))),IF(COUNTIF($M$3:M490,"7")=0,10^9,LOOKUP(2,1/($M$3:M490="7"),ROW($M$3:M490))),IF(COUNTIF($M$3:M490,"8")=0,10^9,LOOKUP(2,1/($M$3:M490="8"),ROW($M$3:M490))),IF(COUNTIF($M$3:M490,"9")=0,10^9,LOOKUP(2,1/($M$3:M490="9"),ROW($M$3:M490))))-ROW($M$3)+1),"")),AND(N491&lt;&gt;"",N491=IFERROR(INDEX($N$3:N490,MIN(IF(COUNTIF($N$3:N490,"鼠")=0,10^9,LOOKUP(2,1/($N$3:N490="鼠"),ROW($N$3:N490))),IF(COUNTIF($N$3:N490,"牛")=0,10^9,LOOKUP(2,1/($N$3:N490="牛"),ROW($N$3:N490))),IF(COUNTIF($N$3:N490,"虎")=0,10^9,LOOKUP(2,1/($N$3:N490="虎"),ROW($N$3:N490))),IF(COUNTIF($N$3:N490,"兔")=0,10^9,LOOKUP(2,1/($N$3:N490="兔"),ROW($N$3:N490))),IF(COUNTIF($N$3:N490,"龙")=0,10^9,LOOKUP(2,1/($N$3:N490="龙"),ROW($N$3:N490))),IF(COUNTIF($N$3:N490,"蛇")=0,10^9,LOOKUP(2,1/($N$3:N490="蛇"),ROW($N$3:N490))),IF(COUNTIF($N$3:N490,"马")=0,10^9,LOOKUP(2,1/($N$3:N490="马"),ROW($N$3:N490))),IF(COUNTIF($N$3:N490,"羊")=0,10^9,LOOKUP(2,1/($N$3:N490="羊"),ROW($N$3:N490))),IF(COUNTIF($N$3:N490,"猴")=0,10^9,LOOKUP(2,1/($N$3:N490="猴"),ROW($N$3:N490))),IF(COUNTIF($N$3:N490,"鸡")=0,10^9,LOOKUP(2,1/($N$3:N490="鸡"),ROW($N$3:N490))),IF(COUNTIF($N$3:N490,"狗")=0,10^9,LOOKUP(2,1/($N$3:N490="狗"),ROW($N$3:N490))),IF(COUNTIF($N$3:N490,"猪")=0,10^9,LOOKUP(2,1/($N$3:N490="猪"),ROW($N$3:N490))))-ROW($N$3)+1),""))),0,IF(ISNUMBER(J490),J490+1,1)))</f>
        <v/>
      </c>
      <c r="K491" s="5" t="e">
        <f t="shared" si="48"/>
        <v>#N/A</v>
      </c>
      <c r="M491" s="6" t="str">
        <f t="shared" si="44"/>
        <v/>
      </c>
      <c r="N491" s="2" t="e">
        <f t="shared" si="45"/>
        <v>#N/A</v>
      </c>
      <c r="O491" s="7" t="str">
        <f>IF(M491="","",IF(COUNTIF(M492:$M$1000,M491)&gt;0,"",M491))</f>
        <v/>
      </c>
      <c r="P491" s="8" t="e">
        <f>IF(N491="","",IF(COUNTIF(N492:$N$1000,N491)&gt;0,"",N491))</f>
        <v>#N/A</v>
      </c>
      <c r="Q491" s="21" t="e">
        <f t="shared" si="46"/>
        <v>#NUM!</v>
      </c>
      <c r="R491" s="22" t="e">
        <f t="shared" si="47"/>
        <v>#NUM!</v>
      </c>
      <c r="S491" s="11"/>
      <c r="T491" s="11"/>
      <c r="U491" s="11"/>
      <c r="W491" s="11"/>
      <c r="X491" s="2"/>
      <c r="Y491" s="2"/>
    </row>
    <row r="492" s="1" customFormat="1" spans="1:25">
      <c r="A492" s="2">
        <v>115057127</v>
      </c>
      <c r="B492" s="2"/>
      <c r="C492" s="2"/>
      <c r="D492" s="2"/>
      <c r="E492" s="2"/>
      <c r="F492" s="2"/>
      <c r="G492" s="2"/>
      <c r="H492" s="3"/>
      <c r="I492" s="2" t="e">
        <f t="shared" si="43"/>
        <v>#N/A</v>
      </c>
      <c r="J492" s="4" t="str">
        <f>IF(H492="","",IF(OR(AND(M492&lt;&gt;"",M492=IFERROR(INDEX($M$3:M491,MIN(IF(COUNTIF($M$3:M491,"0")=0,10^9,LOOKUP(2,1/($M$3:M491="0"),ROW($M$3:M491))),IF(COUNTIF($M$3:M491,"1")=0,10^9,LOOKUP(2,1/($M$3:M491="1"),ROW($M$3:M491))),IF(COUNTIF($M$3:M491,"2")=0,10^9,LOOKUP(2,1/($M$3:M491="2"),ROW($M$3:M491))),IF(COUNTIF($M$3:M491,"3")=0,10^9,LOOKUP(2,1/($M$3:M491="3"),ROW($M$3:M491))),IF(COUNTIF($M$3:M491,"4")=0,10^9,LOOKUP(2,1/($M$3:M491="4"),ROW($M$3:M491))),IF(COUNTIF($M$3:M491,"5")=0,10^9,LOOKUP(2,1/($M$3:M491="5"),ROW($M$3:M491))),IF(COUNTIF($M$3:M491,"6")=0,10^9,LOOKUP(2,1/($M$3:M491="6"),ROW($M$3:M491))),IF(COUNTIF($M$3:M491,"7")=0,10^9,LOOKUP(2,1/($M$3:M491="7"),ROW($M$3:M491))),IF(COUNTIF($M$3:M491,"8")=0,10^9,LOOKUP(2,1/($M$3:M491="8"),ROW($M$3:M491))),IF(COUNTIF($M$3:M491,"9")=0,10^9,LOOKUP(2,1/($M$3:M491="9"),ROW($M$3:M491))))-ROW($M$3)+1),"")),AND(N492&lt;&gt;"",N492=IFERROR(INDEX($N$3:N491,MIN(IF(COUNTIF($N$3:N491,"鼠")=0,10^9,LOOKUP(2,1/($N$3:N491="鼠"),ROW($N$3:N491))),IF(COUNTIF($N$3:N491,"牛")=0,10^9,LOOKUP(2,1/($N$3:N491="牛"),ROW($N$3:N491))),IF(COUNTIF($N$3:N491,"虎")=0,10^9,LOOKUP(2,1/($N$3:N491="虎"),ROW($N$3:N491))),IF(COUNTIF($N$3:N491,"兔")=0,10^9,LOOKUP(2,1/($N$3:N491="兔"),ROW($N$3:N491))),IF(COUNTIF($N$3:N491,"龙")=0,10^9,LOOKUP(2,1/($N$3:N491="龙"),ROW($N$3:N491))),IF(COUNTIF($N$3:N491,"蛇")=0,10^9,LOOKUP(2,1/($N$3:N491="蛇"),ROW($N$3:N491))),IF(COUNTIF($N$3:N491,"马")=0,10^9,LOOKUP(2,1/($N$3:N491="马"),ROW($N$3:N491))),IF(COUNTIF($N$3:N491,"羊")=0,10^9,LOOKUP(2,1/($N$3:N491="羊"),ROW($N$3:N491))),IF(COUNTIF($N$3:N491,"猴")=0,10^9,LOOKUP(2,1/($N$3:N491="猴"),ROW($N$3:N491))),IF(COUNTIF($N$3:N491,"鸡")=0,10^9,LOOKUP(2,1/($N$3:N491="鸡"),ROW($N$3:N491))),IF(COUNTIF($N$3:N491,"狗")=0,10^9,LOOKUP(2,1/($N$3:N491="狗"),ROW($N$3:N491))),IF(COUNTIF($N$3:N491,"猪")=0,10^9,LOOKUP(2,1/($N$3:N491="猪"),ROW($N$3:N491))))-ROW($N$3)+1),""))),0,IF(ISNUMBER(J491),J491+1,1)))</f>
        <v/>
      </c>
      <c r="K492" s="5" t="e">
        <f t="shared" si="48"/>
        <v>#N/A</v>
      </c>
      <c r="M492" s="6" t="str">
        <f t="shared" si="44"/>
        <v/>
      </c>
      <c r="N492" s="2" t="e">
        <f t="shared" si="45"/>
        <v>#N/A</v>
      </c>
      <c r="O492" s="7" t="str">
        <f>IF(M492="","",IF(COUNTIF(M493:$M$1000,M492)&gt;0,"",M492))</f>
        <v/>
      </c>
      <c r="P492" s="8" t="e">
        <f>IF(N492="","",IF(COUNTIF(N493:$N$1000,N492)&gt;0,"",N492))</f>
        <v>#N/A</v>
      </c>
      <c r="Q492" s="21" t="e">
        <f t="shared" si="46"/>
        <v>#NUM!</v>
      </c>
      <c r="R492" s="22" t="e">
        <f t="shared" si="47"/>
        <v>#NUM!</v>
      </c>
      <c r="S492" s="11"/>
      <c r="T492" s="11"/>
      <c r="U492" s="11"/>
      <c r="W492" s="11"/>
      <c r="X492" s="2"/>
      <c r="Y492" s="2"/>
    </row>
    <row r="493" s="1" customFormat="1" spans="1:25">
      <c r="A493" s="2">
        <v>115057128</v>
      </c>
      <c r="B493" s="2"/>
      <c r="C493" s="2"/>
      <c r="D493" s="2"/>
      <c r="E493" s="2"/>
      <c r="F493" s="2"/>
      <c r="G493" s="2"/>
      <c r="H493" s="3"/>
      <c r="I493" s="2" t="e">
        <f t="shared" si="43"/>
        <v>#N/A</v>
      </c>
      <c r="J493" s="4" t="str">
        <f>IF(H493="","",IF(OR(AND(M493&lt;&gt;"",M493=IFERROR(INDEX($M$3:M492,MIN(IF(COUNTIF($M$3:M492,"0")=0,10^9,LOOKUP(2,1/($M$3:M492="0"),ROW($M$3:M492))),IF(COUNTIF($M$3:M492,"1")=0,10^9,LOOKUP(2,1/($M$3:M492="1"),ROW($M$3:M492))),IF(COUNTIF($M$3:M492,"2")=0,10^9,LOOKUP(2,1/($M$3:M492="2"),ROW($M$3:M492))),IF(COUNTIF($M$3:M492,"3")=0,10^9,LOOKUP(2,1/($M$3:M492="3"),ROW($M$3:M492))),IF(COUNTIF($M$3:M492,"4")=0,10^9,LOOKUP(2,1/($M$3:M492="4"),ROW($M$3:M492))),IF(COUNTIF($M$3:M492,"5")=0,10^9,LOOKUP(2,1/($M$3:M492="5"),ROW($M$3:M492))),IF(COUNTIF($M$3:M492,"6")=0,10^9,LOOKUP(2,1/($M$3:M492="6"),ROW($M$3:M492))),IF(COUNTIF($M$3:M492,"7")=0,10^9,LOOKUP(2,1/($M$3:M492="7"),ROW($M$3:M492))),IF(COUNTIF($M$3:M492,"8")=0,10^9,LOOKUP(2,1/($M$3:M492="8"),ROW($M$3:M492))),IF(COUNTIF($M$3:M492,"9")=0,10^9,LOOKUP(2,1/($M$3:M492="9"),ROW($M$3:M492))))-ROW($M$3)+1),"")),AND(N493&lt;&gt;"",N493=IFERROR(INDEX($N$3:N492,MIN(IF(COUNTIF($N$3:N492,"鼠")=0,10^9,LOOKUP(2,1/($N$3:N492="鼠"),ROW($N$3:N492))),IF(COUNTIF($N$3:N492,"牛")=0,10^9,LOOKUP(2,1/($N$3:N492="牛"),ROW($N$3:N492))),IF(COUNTIF($N$3:N492,"虎")=0,10^9,LOOKUP(2,1/($N$3:N492="虎"),ROW($N$3:N492))),IF(COUNTIF($N$3:N492,"兔")=0,10^9,LOOKUP(2,1/($N$3:N492="兔"),ROW($N$3:N492))),IF(COUNTIF($N$3:N492,"龙")=0,10^9,LOOKUP(2,1/($N$3:N492="龙"),ROW($N$3:N492))),IF(COUNTIF($N$3:N492,"蛇")=0,10^9,LOOKUP(2,1/($N$3:N492="蛇"),ROW($N$3:N492))),IF(COUNTIF($N$3:N492,"马")=0,10^9,LOOKUP(2,1/($N$3:N492="马"),ROW($N$3:N492))),IF(COUNTIF($N$3:N492,"羊")=0,10^9,LOOKUP(2,1/($N$3:N492="羊"),ROW($N$3:N492))),IF(COUNTIF($N$3:N492,"猴")=0,10^9,LOOKUP(2,1/($N$3:N492="猴"),ROW($N$3:N492))),IF(COUNTIF($N$3:N492,"鸡")=0,10^9,LOOKUP(2,1/($N$3:N492="鸡"),ROW($N$3:N492))),IF(COUNTIF($N$3:N492,"狗")=0,10^9,LOOKUP(2,1/($N$3:N492="狗"),ROW($N$3:N492))),IF(COUNTIF($N$3:N492,"猪")=0,10^9,LOOKUP(2,1/($N$3:N492="猪"),ROW($N$3:N492))))-ROW($N$3)+1),""))),0,IF(ISNUMBER(J492),J492+1,1)))</f>
        <v/>
      </c>
      <c r="K493" s="5" t="e">
        <f t="shared" si="48"/>
        <v>#N/A</v>
      </c>
      <c r="M493" s="6" t="str">
        <f t="shared" si="44"/>
        <v/>
      </c>
      <c r="N493" s="2" t="e">
        <f t="shared" si="45"/>
        <v>#N/A</v>
      </c>
      <c r="O493" s="7" t="str">
        <f>IF(M493="","",IF(COUNTIF(M494:$M$1000,M493)&gt;0,"",M493))</f>
        <v/>
      </c>
      <c r="P493" s="8" t="e">
        <f>IF(N493="","",IF(COUNTIF(N494:$N$1000,N493)&gt;0,"",N493))</f>
        <v>#N/A</v>
      </c>
      <c r="Q493" s="21" t="e">
        <f t="shared" si="46"/>
        <v>#NUM!</v>
      </c>
      <c r="R493" s="22" t="e">
        <f t="shared" si="47"/>
        <v>#NUM!</v>
      </c>
      <c r="S493" s="11"/>
      <c r="T493" s="11"/>
      <c r="U493" s="11"/>
      <c r="W493" s="11"/>
      <c r="X493" s="2"/>
      <c r="Y493" s="2"/>
    </row>
    <row r="494" s="1" customFormat="1" spans="1:25">
      <c r="A494" s="2">
        <v>115057129</v>
      </c>
      <c r="B494" s="2"/>
      <c r="C494" s="2"/>
      <c r="D494" s="2"/>
      <c r="E494" s="2"/>
      <c r="F494" s="2"/>
      <c r="G494" s="2"/>
      <c r="H494" s="3"/>
      <c r="I494" s="2" t="e">
        <f t="shared" si="43"/>
        <v>#N/A</v>
      </c>
      <c r="J494" s="4" t="str">
        <f>IF(H494="","",IF(OR(AND(M494&lt;&gt;"",M494=IFERROR(INDEX($M$3:M493,MIN(IF(COUNTIF($M$3:M493,"0")=0,10^9,LOOKUP(2,1/($M$3:M493="0"),ROW($M$3:M493))),IF(COUNTIF($M$3:M493,"1")=0,10^9,LOOKUP(2,1/($M$3:M493="1"),ROW($M$3:M493))),IF(COUNTIF($M$3:M493,"2")=0,10^9,LOOKUP(2,1/($M$3:M493="2"),ROW($M$3:M493))),IF(COUNTIF($M$3:M493,"3")=0,10^9,LOOKUP(2,1/($M$3:M493="3"),ROW($M$3:M493))),IF(COUNTIF($M$3:M493,"4")=0,10^9,LOOKUP(2,1/($M$3:M493="4"),ROW($M$3:M493))),IF(COUNTIF($M$3:M493,"5")=0,10^9,LOOKUP(2,1/($M$3:M493="5"),ROW($M$3:M493))),IF(COUNTIF($M$3:M493,"6")=0,10^9,LOOKUP(2,1/($M$3:M493="6"),ROW($M$3:M493))),IF(COUNTIF($M$3:M493,"7")=0,10^9,LOOKUP(2,1/($M$3:M493="7"),ROW($M$3:M493))),IF(COUNTIF($M$3:M493,"8")=0,10^9,LOOKUP(2,1/($M$3:M493="8"),ROW($M$3:M493))),IF(COUNTIF($M$3:M493,"9")=0,10^9,LOOKUP(2,1/($M$3:M493="9"),ROW($M$3:M493))))-ROW($M$3)+1),"")),AND(N494&lt;&gt;"",N494=IFERROR(INDEX($N$3:N493,MIN(IF(COUNTIF($N$3:N493,"鼠")=0,10^9,LOOKUP(2,1/($N$3:N493="鼠"),ROW($N$3:N493))),IF(COUNTIF($N$3:N493,"牛")=0,10^9,LOOKUP(2,1/($N$3:N493="牛"),ROW($N$3:N493))),IF(COUNTIF($N$3:N493,"虎")=0,10^9,LOOKUP(2,1/($N$3:N493="虎"),ROW($N$3:N493))),IF(COUNTIF($N$3:N493,"兔")=0,10^9,LOOKUP(2,1/($N$3:N493="兔"),ROW($N$3:N493))),IF(COUNTIF($N$3:N493,"龙")=0,10^9,LOOKUP(2,1/($N$3:N493="龙"),ROW($N$3:N493))),IF(COUNTIF($N$3:N493,"蛇")=0,10^9,LOOKUP(2,1/($N$3:N493="蛇"),ROW($N$3:N493))),IF(COUNTIF($N$3:N493,"马")=0,10^9,LOOKUP(2,1/($N$3:N493="马"),ROW($N$3:N493))),IF(COUNTIF($N$3:N493,"羊")=0,10^9,LOOKUP(2,1/($N$3:N493="羊"),ROW($N$3:N493))),IF(COUNTIF($N$3:N493,"猴")=0,10^9,LOOKUP(2,1/($N$3:N493="猴"),ROW($N$3:N493))),IF(COUNTIF($N$3:N493,"鸡")=0,10^9,LOOKUP(2,1/($N$3:N493="鸡"),ROW($N$3:N493))),IF(COUNTIF($N$3:N493,"狗")=0,10^9,LOOKUP(2,1/($N$3:N493="狗"),ROW($N$3:N493))),IF(COUNTIF($N$3:N493,"猪")=0,10^9,LOOKUP(2,1/($N$3:N493="猪"),ROW($N$3:N493))))-ROW($N$3)+1),""))),0,IF(ISNUMBER(J493),J493+1,1)))</f>
        <v/>
      </c>
      <c r="K494" s="5" t="e">
        <f t="shared" si="48"/>
        <v>#N/A</v>
      </c>
      <c r="M494" s="6" t="str">
        <f t="shared" si="44"/>
        <v/>
      </c>
      <c r="N494" s="2" t="e">
        <f t="shared" si="45"/>
        <v>#N/A</v>
      </c>
      <c r="O494" s="7" t="str">
        <f>IF(M494="","",IF(COUNTIF(M495:$M$1000,M494)&gt;0,"",M494))</f>
        <v/>
      </c>
      <c r="P494" s="8" t="e">
        <f>IF(N494="","",IF(COUNTIF(N495:$N$1000,N494)&gt;0,"",N494))</f>
        <v>#N/A</v>
      </c>
      <c r="Q494" s="21" t="e">
        <f t="shared" si="46"/>
        <v>#NUM!</v>
      </c>
      <c r="R494" s="22" t="e">
        <f t="shared" si="47"/>
        <v>#NUM!</v>
      </c>
      <c r="S494" s="11"/>
      <c r="T494" s="11"/>
      <c r="U494" s="11"/>
      <c r="W494" s="11"/>
      <c r="X494" s="2"/>
      <c r="Y494" s="2"/>
    </row>
    <row r="495" s="1" customFormat="1" spans="1:25">
      <c r="A495" s="2">
        <v>115057130</v>
      </c>
      <c r="B495" s="2"/>
      <c r="C495" s="2"/>
      <c r="D495" s="2"/>
      <c r="E495" s="2"/>
      <c r="F495" s="2"/>
      <c r="G495" s="2"/>
      <c r="H495" s="3"/>
      <c r="I495" s="2" t="e">
        <f t="shared" si="43"/>
        <v>#N/A</v>
      </c>
      <c r="J495" s="4" t="str">
        <f>IF(H495="","",IF(OR(AND(M495&lt;&gt;"",M495=IFERROR(INDEX($M$3:M494,MIN(IF(COUNTIF($M$3:M494,"0")=0,10^9,LOOKUP(2,1/($M$3:M494="0"),ROW($M$3:M494))),IF(COUNTIF($M$3:M494,"1")=0,10^9,LOOKUP(2,1/($M$3:M494="1"),ROW($M$3:M494))),IF(COUNTIF($M$3:M494,"2")=0,10^9,LOOKUP(2,1/($M$3:M494="2"),ROW($M$3:M494))),IF(COUNTIF($M$3:M494,"3")=0,10^9,LOOKUP(2,1/($M$3:M494="3"),ROW($M$3:M494))),IF(COUNTIF($M$3:M494,"4")=0,10^9,LOOKUP(2,1/($M$3:M494="4"),ROW($M$3:M494))),IF(COUNTIF($M$3:M494,"5")=0,10^9,LOOKUP(2,1/($M$3:M494="5"),ROW($M$3:M494))),IF(COUNTIF($M$3:M494,"6")=0,10^9,LOOKUP(2,1/($M$3:M494="6"),ROW($M$3:M494))),IF(COUNTIF($M$3:M494,"7")=0,10^9,LOOKUP(2,1/($M$3:M494="7"),ROW($M$3:M494))),IF(COUNTIF($M$3:M494,"8")=0,10^9,LOOKUP(2,1/($M$3:M494="8"),ROW($M$3:M494))),IF(COUNTIF($M$3:M494,"9")=0,10^9,LOOKUP(2,1/($M$3:M494="9"),ROW($M$3:M494))))-ROW($M$3)+1),"")),AND(N495&lt;&gt;"",N495=IFERROR(INDEX($N$3:N494,MIN(IF(COUNTIF($N$3:N494,"鼠")=0,10^9,LOOKUP(2,1/($N$3:N494="鼠"),ROW($N$3:N494))),IF(COUNTIF($N$3:N494,"牛")=0,10^9,LOOKUP(2,1/($N$3:N494="牛"),ROW($N$3:N494))),IF(COUNTIF($N$3:N494,"虎")=0,10^9,LOOKUP(2,1/($N$3:N494="虎"),ROW($N$3:N494))),IF(COUNTIF($N$3:N494,"兔")=0,10^9,LOOKUP(2,1/($N$3:N494="兔"),ROW($N$3:N494))),IF(COUNTIF($N$3:N494,"龙")=0,10^9,LOOKUP(2,1/($N$3:N494="龙"),ROW($N$3:N494))),IF(COUNTIF($N$3:N494,"蛇")=0,10^9,LOOKUP(2,1/($N$3:N494="蛇"),ROW($N$3:N494))),IF(COUNTIF($N$3:N494,"马")=0,10^9,LOOKUP(2,1/($N$3:N494="马"),ROW($N$3:N494))),IF(COUNTIF($N$3:N494,"羊")=0,10^9,LOOKUP(2,1/($N$3:N494="羊"),ROW($N$3:N494))),IF(COUNTIF($N$3:N494,"猴")=0,10^9,LOOKUP(2,1/($N$3:N494="猴"),ROW($N$3:N494))),IF(COUNTIF($N$3:N494,"鸡")=0,10^9,LOOKUP(2,1/($N$3:N494="鸡"),ROW($N$3:N494))),IF(COUNTIF($N$3:N494,"狗")=0,10^9,LOOKUP(2,1/($N$3:N494="狗"),ROW($N$3:N494))),IF(COUNTIF($N$3:N494,"猪")=0,10^9,LOOKUP(2,1/($N$3:N494="猪"),ROW($N$3:N494))))-ROW($N$3)+1),""))),0,IF(ISNUMBER(J494),J494+1,1)))</f>
        <v/>
      </c>
      <c r="K495" s="5" t="e">
        <f t="shared" si="48"/>
        <v>#N/A</v>
      </c>
      <c r="M495" s="6" t="str">
        <f t="shared" si="44"/>
        <v/>
      </c>
      <c r="N495" s="2" t="e">
        <f t="shared" si="45"/>
        <v>#N/A</v>
      </c>
      <c r="O495" s="7" t="str">
        <f>IF(M495="","",IF(COUNTIF(M496:$M$1000,M495)&gt;0,"",M495))</f>
        <v/>
      </c>
      <c r="P495" s="8" t="e">
        <f>IF(N495="","",IF(COUNTIF(N496:$N$1000,N495)&gt;0,"",N495))</f>
        <v>#N/A</v>
      </c>
      <c r="Q495" s="21" t="e">
        <f t="shared" si="46"/>
        <v>#NUM!</v>
      </c>
      <c r="R495" s="22" t="e">
        <f t="shared" si="47"/>
        <v>#NUM!</v>
      </c>
      <c r="S495" s="11"/>
      <c r="T495" s="11"/>
      <c r="U495" s="11"/>
      <c r="W495" s="11"/>
      <c r="X495" s="2"/>
      <c r="Y495" s="2"/>
    </row>
    <row r="496" s="1" customFormat="1" spans="1:25">
      <c r="A496" s="2">
        <v>115057131</v>
      </c>
      <c r="B496" s="2"/>
      <c r="C496" s="2"/>
      <c r="D496" s="2"/>
      <c r="E496" s="2"/>
      <c r="F496" s="2"/>
      <c r="G496" s="2"/>
      <c r="H496" s="3"/>
      <c r="I496" s="2" t="e">
        <f t="shared" si="43"/>
        <v>#N/A</v>
      </c>
      <c r="J496" s="4" t="str">
        <f>IF(H496="","",IF(OR(AND(M496&lt;&gt;"",M496=IFERROR(INDEX($M$3:M495,MIN(IF(COUNTIF($M$3:M495,"0")=0,10^9,LOOKUP(2,1/($M$3:M495="0"),ROW($M$3:M495))),IF(COUNTIF($M$3:M495,"1")=0,10^9,LOOKUP(2,1/($M$3:M495="1"),ROW($M$3:M495))),IF(COUNTIF($M$3:M495,"2")=0,10^9,LOOKUP(2,1/($M$3:M495="2"),ROW($M$3:M495))),IF(COUNTIF($M$3:M495,"3")=0,10^9,LOOKUP(2,1/($M$3:M495="3"),ROW($M$3:M495))),IF(COUNTIF($M$3:M495,"4")=0,10^9,LOOKUP(2,1/($M$3:M495="4"),ROW($M$3:M495))),IF(COUNTIF($M$3:M495,"5")=0,10^9,LOOKUP(2,1/($M$3:M495="5"),ROW($M$3:M495))),IF(COUNTIF($M$3:M495,"6")=0,10^9,LOOKUP(2,1/($M$3:M495="6"),ROW($M$3:M495))),IF(COUNTIF($M$3:M495,"7")=0,10^9,LOOKUP(2,1/($M$3:M495="7"),ROW($M$3:M495))),IF(COUNTIF($M$3:M495,"8")=0,10^9,LOOKUP(2,1/($M$3:M495="8"),ROW($M$3:M495))),IF(COUNTIF($M$3:M495,"9")=0,10^9,LOOKUP(2,1/($M$3:M495="9"),ROW($M$3:M495))))-ROW($M$3)+1),"")),AND(N496&lt;&gt;"",N496=IFERROR(INDEX($N$3:N495,MIN(IF(COUNTIF($N$3:N495,"鼠")=0,10^9,LOOKUP(2,1/($N$3:N495="鼠"),ROW($N$3:N495))),IF(COUNTIF($N$3:N495,"牛")=0,10^9,LOOKUP(2,1/($N$3:N495="牛"),ROW($N$3:N495))),IF(COUNTIF($N$3:N495,"虎")=0,10^9,LOOKUP(2,1/($N$3:N495="虎"),ROW($N$3:N495))),IF(COUNTIF($N$3:N495,"兔")=0,10^9,LOOKUP(2,1/($N$3:N495="兔"),ROW($N$3:N495))),IF(COUNTIF($N$3:N495,"龙")=0,10^9,LOOKUP(2,1/($N$3:N495="龙"),ROW($N$3:N495))),IF(COUNTIF($N$3:N495,"蛇")=0,10^9,LOOKUP(2,1/($N$3:N495="蛇"),ROW($N$3:N495))),IF(COUNTIF($N$3:N495,"马")=0,10^9,LOOKUP(2,1/($N$3:N495="马"),ROW($N$3:N495))),IF(COUNTIF($N$3:N495,"羊")=0,10^9,LOOKUP(2,1/($N$3:N495="羊"),ROW($N$3:N495))),IF(COUNTIF($N$3:N495,"猴")=0,10^9,LOOKUP(2,1/($N$3:N495="猴"),ROW($N$3:N495))),IF(COUNTIF($N$3:N495,"鸡")=0,10^9,LOOKUP(2,1/($N$3:N495="鸡"),ROW($N$3:N495))),IF(COUNTIF($N$3:N495,"狗")=0,10^9,LOOKUP(2,1/($N$3:N495="狗"),ROW($N$3:N495))),IF(COUNTIF($N$3:N495,"猪")=0,10^9,LOOKUP(2,1/($N$3:N495="猪"),ROW($N$3:N495))))-ROW($N$3)+1),""))),0,IF(ISNUMBER(J495),J495+1,1)))</f>
        <v/>
      </c>
      <c r="K496" s="5" t="e">
        <f t="shared" si="48"/>
        <v>#N/A</v>
      </c>
      <c r="M496" s="6" t="str">
        <f t="shared" si="44"/>
        <v/>
      </c>
      <c r="N496" s="2" t="e">
        <f t="shared" si="45"/>
        <v>#N/A</v>
      </c>
      <c r="O496" s="7" t="str">
        <f>IF(M496="","",IF(COUNTIF(M497:$M$1000,M496)&gt;0,"",M496))</f>
        <v/>
      </c>
      <c r="P496" s="8" t="e">
        <f>IF(N496="","",IF(COUNTIF(N497:$N$1000,N496)&gt;0,"",N496))</f>
        <v>#N/A</v>
      </c>
      <c r="Q496" s="21" t="e">
        <f t="shared" si="46"/>
        <v>#NUM!</v>
      </c>
      <c r="R496" s="22" t="e">
        <f t="shared" si="47"/>
        <v>#NUM!</v>
      </c>
      <c r="S496" s="11"/>
      <c r="T496" s="11"/>
      <c r="U496" s="11"/>
      <c r="W496" s="11"/>
      <c r="X496" s="2"/>
      <c r="Y496" s="2"/>
    </row>
    <row r="497" s="1" customFormat="1" spans="1:25">
      <c r="A497" s="2">
        <v>115057132</v>
      </c>
      <c r="B497" s="2"/>
      <c r="C497" s="2"/>
      <c r="D497" s="2"/>
      <c r="E497" s="2"/>
      <c r="F497" s="2"/>
      <c r="G497" s="2"/>
      <c r="H497" s="3"/>
      <c r="I497" s="2" t="e">
        <f t="shared" si="43"/>
        <v>#N/A</v>
      </c>
      <c r="J497" s="4" t="str">
        <f>IF(H497="","",IF(OR(AND(M497&lt;&gt;"",M497=IFERROR(INDEX($M$3:M496,MIN(IF(COUNTIF($M$3:M496,"0")=0,10^9,LOOKUP(2,1/($M$3:M496="0"),ROW($M$3:M496))),IF(COUNTIF($M$3:M496,"1")=0,10^9,LOOKUP(2,1/($M$3:M496="1"),ROW($M$3:M496))),IF(COUNTIF($M$3:M496,"2")=0,10^9,LOOKUP(2,1/($M$3:M496="2"),ROW($M$3:M496))),IF(COUNTIF($M$3:M496,"3")=0,10^9,LOOKUP(2,1/($M$3:M496="3"),ROW($M$3:M496))),IF(COUNTIF($M$3:M496,"4")=0,10^9,LOOKUP(2,1/($M$3:M496="4"),ROW($M$3:M496))),IF(COUNTIF($M$3:M496,"5")=0,10^9,LOOKUP(2,1/($M$3:M496="5"),ROW($M$3:M496))),IF(COUNTIF($M$3:M496,"6")=0,10^9,LOOKUP(2,1/($M$3:M496="6"),ROW($M$3:M496))),IF(COUNTIF($M$3:M496,"7")=0,10^9,LOOKUP(2,1/($M$3:M496="7"),ROW($M$3:M496))),IF(COUNTIF($M$3:M496,"8")=0,10^9,LOOKUP(2,1/($M$3:M496="8"),ROW($M$3:M496))),IF(COUNTIF($M$3:M496,"9")=0,10^9,LOOKUP(2,1/($M$3:M496="9"),ROW($M$3:M496))))-ROW($M$3)+1),"")),AND(N497&lt;&gt;"",N497=IFERROR(INDEX($N$3:N496,MIN(IF(COUNTIF($N$3:N496,"鼠")=0,10^9,LOOKUP(2,1/($N$3:N496="鼠"),ROW($N$3:N496))),IF(COUNTIF($N$3:N496,"牛")=0,10^9,LOOKUP(2,1/($N$3:N496="牛"),ROW($N$3:N496))),IF(COUNTIF($N$3:N496,"虎")=0,10^9,LOOKUP(2,1/($N$3:N496="虎"),ROW($N$3:N496))),IF(COUNTIF($N$3:N496,"兔")=0,10^9,LOOKUP(2,1/($N$3:N496="兔"),ROW($N$3:N496))),IF(COUNTIF($N$3:N496,"龙")=0,10^9,LOOKUP(2,1/($N$3:N496="龙"),ROW($N$3:N496))),IF(COUNTIF($N$3:N496,"蛇")=0,10^9,LOOKUP(2,1/($N$3:N496="蛇"),ROW($N$3:N496))),IF(COUNTIF($N$3:N496,"马")=0,10^9,LOOKUP(2,1/($N$3:N496="马"),ROW($N$3:N496))),IF(COUNTIF($N$3:N496,"羊")=0,10^9,LOOKUP(2,1/($N$3:N496="羊"),ROW($N$3:N496))),IF(COUNTIF($N$3:N496,"猴")=0,10^9,LOOKUP(2,1/($N$3:N496="猴"),ROW($N$3:N496))),IF(COUNTIF($N$3:N496,"鸡")=0,10^9,LOOKUP(2,1/($N$3:N496="鸡"),ROW($N$3:N496))),IF(COUNTIF($N$3:N496,"狗")=0,10^9,LOOKUP(2,1/($N$3:N496="狗"),ROW($N$3:N496))),IF(COUNTIF($N$3:N496,"猪")=0,10^9,LOOKUP(2,1/($N$3:N496="猪"),ROW($N$3:N496))))-ROW($N$3)+1),""))),0,IF(ISNUMBER(J496),J496+1,1)))</f>
        <v/>
      </c>
      <c r="K497" s="5" t="e">
        <f t="shared" si="48"/>
        <v>#N/A</v>
      </c>
      <c r="M497" s="6" t="str">
        <f t="shared" si="44"/>
        <v/>
      </c>
      <c r="N497" s="2" t="e">
        <f t="shared" si="45"/>
        <v>#N/A</v>
      </c>
      <c r="O497" s="7" t="str">
        <f>IF(M497="","",IF(COUNTIF(M498:$M$1000,M497)&gt;0,"",M497))</f>
        <v/>
      </c>
      <c r="P497" s="8" t="e">
        <f>IF(N497="","",IF(COUNTIF(N498:$N$1000,N497)&gt;0,"",N497))</f>
        <v>#N/A</v>
      </c>
      <c r="Q497" s="21" t="e">
        <f t="shared" si="46"/>
        <v>#NUM!</v>
      </c>
      <c r="R497" s="22" t="e">
        <f t="shared" si="47"/>
        <v>#NUM!</v>
      </c>
      <c r="S497" s="11"/>
      <c r="T497" s="11"/>
      <c r="U497" s="11"/>
      <c r="W497" s="11"/>
      <c r="X497" s="2"/>
      <c r="Y497" s="2"/>
    </row>
    <row r="498" s="1" customFormat="1" spans="1:25">
      <c r="A498" s="2">
        <v>115057133</v>
      </c>
      <c r="B498" s="2"/>
      <c r="C498" s="2"/>
      <c r="D498" s="2"/>
      <c r="E498" s="2"/>
      <c r="F498" s="2"/>
      <c r="G498" s="2"/>
      <c r="H498" s="3"/>
      <c r="I498" s="2" t="e">
        <f t="shared" si="43"/>
        <v>#N/A</v>
      </c>
      <c r="J498" s="4" t="str">
        <f>IF(H498="","",IF(OR(AND(M498&lt;&gt;"",M498=IFERROR(INDEX($M$3:M497,MIN(IF(COUNTIF($M$3:M497,"0")=0,10^9,LOOKUP(2,1/($M$3:M497="0"),ROW($M$3:M497))),IF(COUNTIF($M$3:M497,"1")=0,10^9,LOOKUP(2,1/($M$3:M497="1"),ROW($M$3:M497))),IF(COUNTIF($M$3:M497,"2")=0,10^9,LOOKUP(2,1/($M$3:M497="2"),ROW($M$3:M497))),IF(COUNTIF($M$3:M497,"3")=0,10^9,LOOKUP(2,1/($M$3:M497="3"),ROW($M$3:M497))),IF(COUNTIF($M$3:M497,"4")=0,10^9,LOOKUP(2,1/($M$3:M497="4"),ROW($M$3:M497))),IF(COUNTIF($M$3:M497,"5")=0,10^9,LOOKUP(2,1/($M$3:M497="5"),ROW($M$3:M497))),IF(COUNTIF($M$3:M497,"6")=0,10^9,LOOKUP(2,1/($M$3:M497="6"),ROW($M$3:M497))),IF(COUNTIF($M$3:M497,"7")=0,10^9,LOOKUP(2,1/($M$3:M497="7"),ROW($M$3:M497))),IF(COUNTIF($M$3:M497,"8")=0,10^9,LOOKUP(2,1/($M$3:M497="8"),ROW($M$3:M497))),IF(COUNTIF($M$3:M497,"9")=0,10^9,LOOKUP(2,1/($M$3:M497="9"),ROW($M$3:M497))))-ROW($M$3)+1),"")),AND(N498&lt;&gt;"",N498=IFERROR(INDEX($N$3:N497,MIN(IF(COUNTIF($N$3:N497,"鼠")=0,10^9,LOOKUP(2,1/($N$3:N497="鼠"),ROW($N$3:N497))),IF(COUNTIF($N$3:N497,"牛")=0,10^9,LOOKUP(2,1/($N$3:N497="牛"),ROW($N$3:N497))),IF(COUNTIF($N$3:N497,"虎")=0,10^9,LOOKUP(2,1/($N$3:N497="虎"),ROW($N$3:N497))),IF(COUNTIF($N$3:N497,"兔")=0,10^9,LOOKUP(2,1/($N$3:N497="兔"),ROW($N$3:N497))),IF(COUNTIF($N$3:N497,"龙")=0,10^9,LOOKUP(2,1/($N$3:N497="龙"),ROW($N$3:N497))),IF(COUNTIF($N$3:N497,"蛇")=0,10^9,LOOKUP(2,1/($N$3:N497="蛇"),ROW($N$3:N497))),IF(COUNTIF($N$3:N497,"马")=0,10^9,LOOKUP(2,1/($N$3:N497="马"),ROW($N$3:N497))),IF(COUNTIF($N$3:N497,"羊")=0,10^9,LOOKUP(2,1/($N$3:N497="羊"),ROW($N$3:N497))),IF(COUNTIF($N$3:N497,"猴")=0,10^9,LOOKUP(2,1/($N$3:N497="猴"),ROW($N$3:N497))),IF(COUNTIF($N$3:N497,"鸡")=0,10^9,LOOKUP(2,1/($N$3:N497="鸡"),ROW($N$3:N497))),IF(COUNTIF($N$3:N497,"狗")=0,10^9,LOOKUP(2,1/($N$3:N497="狗"),ROW($N$3:N497))),IF(COUNTIF($N$3:N497,"猪")=0,10^9,LOOKUP(2,1/($N$3:N497="猪"),ROW($N$3:N497))))-ROW($N$3)+1),""))),0,IF(ISNUMBER(J497),J497+1,1)))</f>
        <v/>
      </c>
      <c r="K498" s="5" t="e">
        <f t="shared" si="48"/>
        <v>#N/A</v>
      </c>
      <c r="M498" s="6" t="str">
        <f t="shared" si="44"/>
        <v/>
      </c>
      <c r="N498" s="2" t="e">
        <f t="shared" si="45"/>
        <v>#N/A</v>
      </c>
      <c r="O498" s="7" t="str">
        <f>IF(M498="","",IF(COUNTIF(M499:$M$1000,M498)&gt;0,"",M498))</f>
        <v/>
      </c>
      <c r="P498" s="8" t="e">
        <f>IF(N498="","",IF(COUNTIF(N499:$N$1000,N498)&gt;0,"",N498))</f>
        <v>#N/A</v>
      </c>
      <c r="Q498" s="21" t="e">
        <f t="shared" si="46"/>
        <v>#NUM!</v>
      </c>
      <c r="R498" s="22" t="e">
        <f t="shared" si="47"/>
        <v>#NUM!</v>
      </c>
      <c r="S498" s="11"/>
      <c r="T498" s="11"/>
      <c r="U498" s="11"/>
      <c r="W498" s="11"/>
      <c r="X498" s="2"/>
      <c r="Y498" s="2"/>
    </row>
  </sheetData>
  <mergeCells count="5">
    <mergeCell ref="A1:I1"/>
    <mergeCell ref="J1:K1"/>
    <mergeCell ref="M1:N1"/>
    <mergeCell ref="Q1:R1"/>
    <mergeCell ref="X1:Y1"/>
  </mergeCells>
  <conditionalFormatting sqref="J1:J65536">
    <cfRule type="cellIs" dxfId="0" priority="2" operator="equal">
      <formula>0</formula>
    </cfRule>
  </conditionalFormatting>
  <conditionalFormatting sqref="K$1:K$1048576">
    <cfRule type="cellIs" dxfId="0" priority="1" operator="equal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2026-10-08T03:31:15Z</dcterms:created>
  <dcterms:modified xsi:type="dcterms:W3CDTF">2026-10-08T03:31:44Z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C0C297F897394D74BEFDE4234F4CACAD_11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